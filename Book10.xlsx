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\Desktop\Haier\OT\"/>
    </mc:Choice>
  </mc:AlternateContent>
  <xr:revisionPtr revIDLastSave="0" documentId="13_ncr:1_{88667F45-1A5E-442D-BE88-D8F0C7275669}" xr6:coauthVersionLast="47" xr6:coauthVersionMax="47" xr10:uidLastSave="{00000000-0000-0000-0000-000000000000}"/>
  <bookViews>
    <workbookView xWindow="0" yWindow="300" windowWidth="29040" windowHeight="15840" activeTab="7" xr2:uid="{B5B02A58-C1AC-4002-8638-77739E458305}"/>
  </bookViews>
  <sheets>
    <sheet name="Nov. 24" sheetId="1" r:id="rId1"/>
    <sheet name="Dec. 24 " sheetId="3" r:id="rId2"/>
    <sheet name="Jan.25" sheetId="5" r:id="rId3"/>
    <sheet name="Feb.25" sheetId="6" r:id="rId4"/>
    <sheet name="Mar.25" sheetId="8" r:id="rId5"/>
    <sheet name="Oct.25 " sheetId="10" r:id="rId6"/>
    <sheet name="Nov.25" sheetId="9" r:id="rId7"/>
    <sheet name="DEC.25 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1" l="1"/>
  <c r="D31" i="11"/>
  <c r="D30" i="11"/>
  <c r="I29" i="11"/>
  <c r="J29" i="11" s="1"/>
  <c r="D29" i="11"/>
  <c r="H29" i="11" s="1"/>
  <c r="J28" i="11"/>
  <c r="I28" i="11"/>
  <c r="D28" i="11"/>
  <c r="H28" i="11" s="1"/>
  <c r="I27" i="11"/>
  <c r="J27" i="11" s="1"/>
  <c r="H27" i="11"/>
  <c r="G27" i="11"/>
  <c r="D27" i="11"/>
  <c r="I26" i="11"/>
  <c r="J26" i="11" s="1"/>
  <c r="H26" i="11"/>
  <c r="D26" i="11"/>
  <c r="G26" i="11" s="1"/>
  <c r="I25" i="11"/>
  <c r="J25" i="11" s="1"/>
  <c r="D25" i="11"/>
  <c r="H25" i="11" s="1"/>
  <c r="J24" i="11"/>
  <c r="I24" i="11"/>
  <c r="D24" i="11"/>
  <c r="H24" i="11" s="1"/>
  <c r="I23" i="11"/>
  <c r="J23" i="11" s="1"/>
  <c r="H23" i="11"/>
  <c r="G23" i="11"/>
  <c r="D23" i="11"/>
  <c r="I22" i="11"/>
  <c r="J22" i="11" s="1"/>
  <c r="H22" i="11"/>
  <c r="D22" i="11"/>
  <c r="G22" i="11" s="1"/>
  <c r="I21" i="11"/>
  <c r="J21" i="11" s="1"/>
  <c r="D21" i="11"/>
  <c r="H21" i="11" s="1"/>
  <c r="I20" i="11"/>
  <c r="J20" i="11" s="1"/>
  <c r="D20" i="11"/>
  <c r="H20" i="11" s="1"/>
  <c r="I19" i="11"/>
  <c r="J19" i="11" s="1"/>
  <c r="H19" i="11"/>
  <c r="G19" i="11"/>
  <c r="D19" i="11"/>
  <c r="I18" i="11"/>
  <c r="J18" i="11" s="1"/>
  <c r="D18" i="11"/>
  <c r="H18" i="11" s="1"/>
  <c r="I17" i="11"/>
  <c r="J17" i="11" s="1"/>
  <c r="H17" i="11"/>
  <c r="G17" i="11"/>
  <c r="D17" i="11"/>
  <c r="I16" i="11"/>
  <c r="J16" i="11" s="1"/>
  <c r="D16" i="11"/>
  <c r="H16" i="11" s="1"/>
  <c r="I15" i="11"/>
  <c r="J15" i="11" s="1"/>
  <c r="D15" i="11"/>
  <c r="J14" i="11"/>
  <c r="I14" i="11"/>
  <c r="D14" i="11"/>
  <c r="I13" i="11"/>
  <c r="J13" i="11" s="1"/>
  <c r="D13" i="11"/>
  <c r="G13" i="11" s="1"/>
  <c r="H13" i="11" s="1"/>
  <c r="I12" i="11"/>
  <c r="J12" i="11" s="1"/>
  <c r="D12" i="11"/>
  <c r="G12" i="11" s="1"/>
  <c r="H12" i="11" s="1"/>
  <c r="I11" i="11"/>
  <c r="J11" i="11" s="1"/>
  <c r="D11" i="11"/>
  <c r="I10" i="11"/>
  <c r="J10" i="11" s="1"/>
  <c r="D10" i="11"/>
  <c r="I9" i="11"/>
  <c r="J9" i="11" s="1"/>
  <c r="H9" i="11"/>
  <c r="D9" i="11"/>
  <c r="G9" i="11" s="1"/>
  <c r="I8" i="11"/>
  <c r="J8" i="11" s="1"/>
  <c r="H8" i="11"/>
  <c r="D8" i="11"/>
  <c r="G8" i="11" s="1"/>
  <c r="I7" i="11"/>
  <c r="J7" i="11" s="1"/>
  <c r="D7" i="11"/>
  <c r="I6" i="11"/>
  <c r="J6" i="11" s="1"/>
  <c r="D6" i="11"/>
  <c r="H6" i="11" s="1"/>
  <c r="I5" i="11"/>
  <c r="J5" i="11" s="1"/>
  <c r="D5" i="11"/>
  <c r="G5" i="11" s="1"/>
  <c r="H5" i="11" s="1"/>
  <c r="I4" i="11"/>
  <c r="J4" i="11" s="1"/>
  <c r="D4" i="11"/>
  <c r="G4" i="11" s="1"/>
  <c r="H4" i="11" s="1"/>
  <c r="I3" i="11"/>
  <c r="J3" i="11" s="1"/>
  <c r="D3" i="11"/>
  <c r="I2" i="11"/>
  <c r="J2" i="11" s="1"/>
  <c r="D2" i="11"/>
  <c r="N18" i="9"/>
  <c r="M18" i="9"/>
  <c r="H30" i="10"/>
  <c r="H31" i="10"/>
  <c r="D32" i="10"/>
  <c r="D31" i="10"/>
  <c r="D30" i="10"/>
  <c r="I29" i="10"/>
  <c r="J29" i="10" s="1"/>
  <c r="D29" i="10"/>
  <c r="I28" i="10"/>
  <c r="J28" i="10" s="1"/>
  <c r="D28" i="10"/>
  <c r="I27" i="10"/>
  <c r="J27" i="10" s="1"/>
  <c r="D27" i="10"/>
  <c r="H27" i="10" s="1"/>
  <c r="J26" i="10"/>
  <c r="I26" i="10"/>
  <c r="H26" i="10"/>
  <c r="D26" i="10"/>
  <c r="G26" i="10" s="1"/>
  <c r="I25" i="10"/>
  <c r="J25" i="10" s="1"/>
  <c r="D25" i="10"/>
  <c r="G25" i="10" s="1"/>
  <c r="H25" i="10" s="1"/>
  <c r="J24" i="10"/>
  <c r="I24" i="10"/>
  <c r="D24" i="10"/>
  <c r="I23" i="10"/>
  <c r="J23" i="10" s="1"/>
  <c r="D23" i="10"/>
  <c r="G23" i="10" s="1"/>
  <c r="I22" i="10"/>
  <c r="J22" i="10" s="1"/>
  <c r="D22" i="10"/>
  <c r="I21" i="10"/>
  <c r="J21" i="10" s="1"/>
  <c r="D21" i="10"/>
  <c r="I20" i="10"/>
  <c r="J20" i="10" s="1"/>
  <c r="D20" i="10"/>
  <c r="H20" i="10" s="1"/>
  <c r="I19" i="10"/>
  <c r="J19" i="10" s="1"/>
  <c r="D19" i="10"/>
  <c r="H19" i="10" s="1"/>
  <c r="O18" i="10"/>
  <c r="I18" i="10"/>
  <c r="J18" i="10" s="1"/>
  <c r="D18" i="10"/>
  <c r="J17" i="10"/>
  <c r="I17" i="10"/>
  <c r="D17" i="10"/>
  <c r="G17" i="10" s="1"/>
  <c r="I16" i="10"/>
  <c r="J16" i="10" s="1"/>
  <c r="H16" i="10"/>
  <c r="G16" i="10"/>
  <c r="D16" i="10"/>
  <c r="I15" i="10"/>
  <c r="J15" i="10" s="1"/>
  <c r="D15" i="10"/>
  <c r="I14" i="10"/>
  <c r="J14" i="10" s="1"/>
  <c r="D14" i="10"/>
  <c r="G14" i="10" s="1"/>
  <c r="H14" i="10" s="1"/>
  <c r="I13" i="10"/>
  <c r="J13" i="10" s="1"/>
  <c r="D13" i="10"/>
  <c r="H13" i="10" s="1"/>
  <c r="I12" i="10"/>
  <c r="J12" i="10" s="1"/>
  <c r="D12" i="10"/>
  <c r="G12" i="10" s="1"/>
  <c r="H12" i="10" s="1"/>
  <c r="I11" i="10"/>
  <c r="J11" i="10" s="1"/>
  <c r="D11" i="10"/>
  <c r="I10" i="10"/>
  <c r="J10" i="10" s="1"/>
  <c r="D10" i="10"/>
  <c r="H10" i="10" s="1"/>
  <c r="I9" i="10"/>
  <c r="J9" i="10" s="1"/>
  <c r="D9" i="10"/>
  <c r="H9" i="10" s="1"/>
  <c r="I8" i="10"/>
  <c r="J8" i="10" s="1"/>
  <c r="H8" i="10"/>
  <c r="D8" i="10"/>
  <c r="G8" i="10" s="1"/>
  <c r="I7" i="10"/>
  <c r="J7" i="10" s="1"/>
  <c r="D7" i="10"/>
  <c r="I6" i="10"/>
  <c r="J6" i="10" s="1"/>
  <c r="D6" i="10"/>
  <c r="H6" i="10" s="1"/>
  <c r="I5" i="10"/>
  <c r="J5" i="10" s="1"/>
  <c r="D5" i="10"/>
  <c r="H5" i="10" s="1"/>
  <c r="I4" i="10"/>
  <c r="J4" i="10" s="1"/>
  <c r="D4" i="10"/>
  <c r="G4" i="10" s="1"/>
  <c r="H4" i="10" s="1"/>
  <c r="I3" i="10"/>
  <c r="J3" i="10" s="1"/>
  <c r="D3" i="10"/>
  <c r="H3" i="10" s="1"/>
  <c r="I2" i="10"/>
  <c r="J2" i="10" s="1"/>
  <c r="D2" i="10"/>
  <c r="H2" i="10" s="1"/>
  <c r="D32" i="9"/>
  <c r="D31" i="9"/>
  <c r="D30" i="9"/>
  <c r="I29" i="9"/>
  <c r="J29" i="9" s="1"/>
  <c r="D29" i="9"/>
  <c r="H29" i="9" s="1"/>
  <c r="I28" i="9"/>
  <c r="J28" i="9" s="1"/>
  <c r="D28" i="9"/>
  <c r="H28" i="9" s="1"/>
  <c r="I27" i="9"/>
  <c r="J27" i="9" s="1"/>
  <c r="D27" i="9"/>
  <c r="G27" i="9" s="1"/>
  <c r="I26" i="9"/>
  <c r="J26" i="9" s="1"/>
  <c r="D26" i="9"/>
  <c r="G26" i="9" s="1"/>
  <c r="I25" i="9"/>
  <c r="J25" i="9" s="1"/>
  <c r="D25" i="9"/>
  <c r="J24" i="9"/>
  <c r="I24" i="9"/>
  <c r="G24" i="9"/>
  <c r="D24" i="9"/>
  <c r="H24" i="9" s="1"/>
  <c r="I23" i="9"/>
  <c r="J23" i="9" s="1"/>
  <c r="H23" i="9"/>
  <c r="G23" i="9"/>
  <c r="D23" i="9"/>
  <c r="I22" i="9"/>
  <c r="J22" i="9" s="1"/>
  <c r="D22" i="9"/>
  <c r="I21" i="9"/>
  <c r="J21" i="9" s="1"/>
  <c r="D21" i="9"/>
  <c r="I20" i="9"/>
  <c r="J20" i="9" s="1"/>
  <c r="D20" i="9"/>
  <c r="H20" i="9" s="1"/>
  <c r="I19" i="9"/>
  <c r="J19" i="9" s="1"/>
  <c r="D19" i="9"/>
  <c r="G19" i="9" s="1"/>
  <c r="I18" i="9"/>
  <c r="J18" i="9" s="1"/>
  <c r="D18" i="9"/>
  <c r="G18" i="9" s="1"/>
  <c r="J17" i="9"/>
  <c r="I17" i="9"/>
  <c r="H17" i="9"/>
  <c r="D17" i="9"/>
  <c r="G17" i="9" s="1"/>
  <c r="J16" i="9"/>
  <c r="I16" i="9"/>
  <c r="G16" i="9"/>
  <c r="D16" i="9"/>
  <c r="H16" i="9" s="1"/>
  <c r="I15" i="9"/>
  <c r="J15" i="9" s="1"/>
  <c r="D15" i="9"/>
  <c r="I14" i="9"/>
  <c r="J14" i="9" s="1"/>
  <c r="D14" i="9"/>
  <c r="G14" i="9" s="1"/>
  <c r="H14" i="9" s="1"/>
  <c r="I13" i="9"/>
  <c r="J13" i="9" s="1"/>
  <c r="D13" i="9"/>
  <c r="I12" i="9"/>
  <c r="J12" i="9" s="1"/>
  <c r="D12" i="9"/>
  <c r="I11" i="9"/>
  <c r="J11" i="9" s="1"/>
  <c r="D11" i="9"/>
  <c r="I10" i="9"/>
  <c r="J10" i="9" s="1"/>
  <c r="H10" i="9"/>
  <c r="D10" i="9"/>
  <c r="G10" i="9" s="1"/>
  <c r="I9" i="9"/>
  <c r="J9" i="9" s="1"/>
  <c r="D9" i="9"/>
  <c r="H9" i="9" s="1"/>
  <c r="I8" i="9"/>
  <c r="J8" i="9" s="1"/>
  <c r="G8" i="9"/>
  <c r="D8" i="9"/>
  <c r="H8" i="9" s="1"/>
  <c r="I7" i="9"/>
  <c r="J7" i="9" s="1"/>
  <c r="D7" i="9"/>
  <c r="I6" i="9"/>
  <c r="J6" i="9" s="1"/>
  <c r="D6" i="9"/>
  <c r="H6" i="9" s="1"/>
  <c r="I5" i="9"/>
  <c r="J5" i="9" s="1"/>
  <c r="D5" i="9"/>
  <c r="I4" i="9"/>
  <c r="J4" i="9" s="1"/>
  <c r="D4" i="9"/>
  <c r="I3" i="9"/>
  <c r="J3" i="9" s="1"/>
  <c r="D3" i="9"/>
  <c r="H3" i="9" s="1"/>
  <c r="I2" i="9"/>
  <c r="J2" i="9" s="1"/>
  <c r="D2" i="9"/>
  <c r="G2" i="9" s="1"/>
  <c r="O18" i="8"/>
  <c r="D32" i="8"/>
  <c r="D31" i="8"/>
  <c r="D30" i="8"/>
  <c r="I29" i="8"/>
  <c r="J29" i="8" s="1"/>
  <c r="D29" i="8"/>
  <c r="I28" i="8"/>
  <c r="J28" i="8" s="1"/>
  <c r="D28" i="8"/>
  <c r="I27" i="8"/>
  <c r="J27" i="8" s="1"/>
  <c r="D27" i="8"/>
  <c r="G27" i="8" s="1"/>
  <c r="H27" i="8" s="1"/>
  <c r="I26" i="8"/>
  <c r="J26" i="8" s="1"/>
  <c r="D26" i="8"/>
  <c r="I25" i="8"/>
  <c r="J25" i="8" s="1"/>
  <c r="H25" i="8"/>
  <c r="G25" i="8"/>
  <c r="D25" i="8"/>
  <c r="I24" i="8"/>
  <c r="J24" i="8" s="1"/>
  <c r="H24" i="8"/>
  <c r="D24" i="8"/>
  <c r="G24" i="8" s="1"/>
  <c r="I23" i="8"/>
  <c r="J23" i="8" s="1"/>
  <c r="D23" i="8"/>
  <c r="H23" i="8" s="1"/>
  <c r="I22" i="8"/>
  <c r="J22" i="8" s="1"/>
  <c r="D22" i="8"/>
  <c r="H22" i="8" s="1"/>
  <c r="I21" i="8"/>
  <c r="J21" i="8" s="1"/>
  <c r="D21" i="8"/>
  <c r="I20" i="8"/>
  <c r="J20" i="8" s="1"/>
  <c r="D20" i="8"/>
  <c r="I19" i="8"/>
  <c r="J19" i="8" s="1"/>
  <c r="D19" i="8"/>
  <c r="G19" i="8" s="1"/>
  <c r="H19" i="8" s="1"/>
  <c r="I18" i="8"/>
  <c r="J18" i="8" s="1"/>
  <c r="D18" i="8"/>
  <c r="G18" i="8" s="1"/>
  <c r="H18" i="8" s="1"/>
  <c r="I17" i="8"/>
  <c r="J17" i="8" s="1"/>
  <c r="D17" i="8"/>
  <c r="H17" i="8" s="1"/>
  <c r="I16" i="8"/>
  <c r="J16" i="8" s="1"/>
  <c r="G16" i="8"/>
  <c r="D16" i="8"/>
  <c r="H16" i="8" s="1"/>
  <c r="I15" i="8"/>
  <c r="J15" i="8" s="1"/>
  <c r="D15" i="8"/>
  <c r="I14" i="8"/>
  <c r="J14" i="8" s="1"/>
  <c r="D14" i="8"/>
  <c r="I13" i="8"/>
  <c r="J13" i="8" s="1"/>
  <c r="D13" i="8"/>
  <c r="H13" i="8" s="1"/>
  <c r="I12" i="8"/>
  <c r="J12" i="8" s="1"/>
  <c r="D12" i="8"/>
  <c r="I11" i="8"/>
  <c r="J11" i="8" s="1"/>
  <c r="D11" i="8"/>
  <c r="G11" i="8" s="1"/>
  <c r="H11" i="8" s="1"/>
  <c r="I10" i="8"/>
  <c r="J10" i="8" s="1"/>
  <c r="H10" i="8"/>
  <c r="D10" i="8"/>
  <c r="G10" i="8" s="1"/>
  <c r="I9" i="8"/>
  <c r="J9" i="8" s="1"/>
  <c r="D9" i="8"/>
  <c r="H9" i="8" s="1"/>
  <c r="I8" i="8"/>
  <c r="J8" i="8" s="1"/>
  <c r="D8" i="8"/>
  <c r="H8" i="8" s="1"/>
  <c r="I7" i="8"/>
  <c r="J7" i="8" s="1"/>
  <c r="G7" i="8"/>
  <c r="H7" i="8" s="1"/>
  <c r="D7" i="8"/>
  <c r="I6" i="8"/>
  <c r="J6" i="8" s="1"/>
  <c r="D6" i="8"/>
  <c r="I5" i="8"/>
  <c r="J5" i="8" s="1"/>
  <c r="D5" i="8"/>
  <c r="H5" i="8" s="1"/>
  <c r="I4" i="8"/>
  <c r="J4" i="8" s="1"/>
  <c r="D4" i="8"/>
  <c r="I3" i="8"/>
  <c r="J3" i="8" s="1"/>
  <c r="D3" i="8"/>
  <c r="G3" i="8" s="1"/>
  <c r="I2" i="8"/>
  <c r="J2" i="8" s="1"/>
  <c r="H2" i="8"/>
  <c r="D2" i="8"/>
  <c r="G2" i="8" s="1"/>
  <c r="O18" i="6"/>
  <c r="D3" i="6"/>
  <c r="D4" i="6"/>
  <c r="H4" i="6" s="1"/>
  <c r="D5" i="6"/>
  <c r="H5" i="6" s="1"/>
  <c r="D6" i="6"/>
  <c r="D7" i="6"/>
  <c r="D8" i="6"/>
  <c r="D9" i="6"/>
  <c r="D10" i="6"/>
  <c r="G10" i="6" s="1"/>
  <c r="H10" i="6" s="1"/>
  <c r="D11" i="6"/>
  <c r="D12" i="6"/>
  <c r="H12" i="6" s="1"/>
  <c r="D13" i="6"/>
  <c r="G13" i="6" s="1"/>
  <c r="D14" i="6"/>
  <c r="G14" i="6" s="1"/>
  <c r="H14" i="6" s="1"/>
  <c r="D15" i="6"/>
  <c r="D16" i="6"/>
  <c r="G16" i="6" s="1"/>
  <c r="H16" i="6" s="1"/>
  <c r="D17" i="6"/>
  <c r="D18" i="6"/>
  <c r="D19" i="6"/>
  <c r="D20" i="6"/>
  <c r="G20" i="6" s="1"/>
  <c r="D21" i="6"/>
  <c r="D22" i="6"/>
  <c r="G22" i="6" s="1"/>
  <c r="H22" i="6" s="1"/>
  <c r="D23" i="6"/>
  <c r="D24" i="6"/>
  <c r="D25" i="6"/>
  <c r="H25" i="6" s="1"/>
  <c r="D26" i="6"/>
  <c r="D27" i="6"/>
  <c r="D28" i="6"/>
  <c r="G28" i="6" s="1"/>
  <c r="H28" i="6" s="1"/>
  <c r="D29" i="6"/>
  <c r="D30" i="6"/>
  <c r="D31" i="6"/>
  <c r="D32" i="6"/>
  <c r="D14" i="5"/>
  <c r="G14" i="5" s="1"/>
  <c r="H14" i="5" s="1"/>
  <c r="D9" i="5"/>
  <c r="D10" i="5"/>
  <c r="D11" i="5"/>
  <c r="G11" i="5" s="1"/>
  <c r="H11" i="5" s="1"/>
  <c r="G11" i="6"/>
  <c r="H11" i="6" s="1"/>
  <c r="I29" i="6"/>
  <c r="J29" i="6" s="1"/>
  <c r="I28" i="6"/>
  <c r="J28" i="6" s="1"/>
  <c r="I27" i="6"/>
  <c r="J27" i="6" s="1"/>
  <c r="I26" i="6"/>
  <c r="J26" i="6" s="1"/>
  <c r="I25" i="6"/>
  <c r="J25" i="6" s="1"/>
  <c r="I24" i="6"/>
  <c r="J24" i="6" s="1"/>
  <c r="H24" i="6"/>
  <c r="I23" i="6"/>
  <c r="J23" i="6" s="1"/>
  <c r="H23" i="6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H17" i="6"/>
  <c r="I16" i="6"/>
  <c r="J16" i="6" s="1"/>
  <c r="I15" i="6"/>
  <c r="J15" i="6" s="1"/>
  <c r="I14" i="6"/>
  <c r="J14" i="6" s="1"/>
  <c r="I13" i="6"/>
  <c r="J13" i="6" s="1"/>
  <c r="I12" i="6"/>
  <c r="J12" i="6" s="1"/>
  <c r="I11" i="6"/>
  <c r="J11" i="6" s="1"/>
  <c r="I10" i="6"/>
  <c r="J10" i="6" s="1"/>
  <c r="I9" i="6"/>
  <c r="J9" i="6" s="1"/>
  <c r="I8" i="6"/>
  <c r="J8" i="6" s="1"/>
  <c r="H8" i="6"/>
  <c r="I7" i="6"/>
  <c r="J7" i="6" s="1"/>
  <c r="G7" i="6"/>
  <c r="H7" i="6" s="1"/>
  <c r="I6" i="6"/>
  <c r="J6" i="6" s="1"/>
  <c r="H6" i="6"/>
  <c r="I5" i="6"/>
  <c r="J5" i="6" s="1"/>
  <c r="I4" i="6"/>
  <c r="J4" i="6" s="1"/>
  <c r="I3" i="6"/>
  <c r="J3" i="6" s="1"/>
  <c r="H3" i="6"/>
  <c r="G3" i="6"/>
  <c r="I2" i="6"/>
  <c r="J2" i="6" s="1"/>
  <c r="D2" i="6"/>
  <c r="G2" i="6" s="1"/>
  <c r="D18" i="5"/>
  <c r="D18" i="3"/>
  <c r="I32" i="5"/>
  <c r="J32" i="5" s="1"/>
  <c r="D32" i="5"/>
  <c r="I31" i="5"/>
  <c r="J31" i="5" s="1"/>
  <c r="D31" i="5"/>
  <c r="H31" i="5" s="1"/>
  <c r="I30" i="5"/>
  <c r="J30" i="5" s="1"/>
  <c r="D30" i="5"/>
  <c r="G30" i="5" s="1"/>
  <c r="I29" i="5"/>
  <c r="J29" i="5" s="1"/>
  <c r="D29" i="5"/>
  <c r="I28" i="5"/>
  <c r="J28" i="5" s="1"/>
  <c r="D28" i="5"/>
  <c r="G28" i="5" s="1"/>
  <c r="I27" i="5"/>
  <c r="J27" i="5" s="1"/>
  <c r="D27" i="5"/>
  <c r="H27" i="5" s="1"/>
  <c r="J26" i="5"/>
  <c r="I26" i="5"/>
  <c r="D26" i="5"/>
  <c r="H26" i="5" s="1"/>
  <c r="I25" i="5"/>
  <c r="J25" i="5" s="1"/>
  <c r="G25" i="5"/>
  <c r="D25" i="5"/>
  <c r="H25" i="5" s="1"/>
  <c r="I24" i="5"/>
  <c r="J24" i="5" s="1"/>
  <c r="D24" i="5"/>
  <c r="H24" i="5" s="1"/>
  <c r="I23" i="5"/>
  <c r="J23" i="5" s="1"/>
  <c r="D23" i="5"/>
  <c r="H23" i="5" s="1"/>
  <c r="I22" i="5"/>
  <c r="J22" i="5" s="1"/>
  <c r="D22" i="5"/>
  <c r="G22" i="5" s="1"/>
  <c r="I21" i="5"/>
  <c r="J21" i="5" s="1"/>
  <c r="D21" i="5"/>
  <c r="I20" i="5"/>
  <c r="J20" i="5" s="1"/>
  <c r="H20" i="5"/>
  <c r="D20" i="5"/>
  <c r="G20" i="5" s="1"/>
  <c r="I19" i="5"/>
  <c r="J19" i="5" s="1"/>
  <c r="H19" i="5"/>
  <c r="G19" i="5"/>
  <c r="D19" i="5"/>
  <c r="I18" i="5"/>
  <c r="J18" i="5" s="1"/>
  <c r="I17" i="5"/>
  <c r="J17" i="5" s="1"/>
  <c r="D17" i="5"/>
  <c r="G17" i="5" s="1"/>
  <c r="I16" i="5"/>
  <c r="J16" i="5" s="1"/>
  <c r="D16" i="5"/>
  <c r="G16" i="5" s="1"/>
  <c r="I15" i="5"/>
  <c r="J15" i="5" s="1"/>
  <c r="D15" i="5"/>
  <c r="I14" i="5"/>
  <c r="J14" i="5" s="1"/>
  <c r="I13" i="5"/>
  <c r="J13" i="5" s="1"/>
  <c r="H13" i="5"/>
  <c r="G13" i="5"/>
  <c r="I12" i="5"/>
  <c r="J12" i="5" s="1"/>
  <c r="H12" i="5"/>
  <c r="G12" i="5"/>
  <c r="I11" i="5"/>
  <c r="J11" i="5" s="1"/>
  <c r="I10" i="5"/>
  <c r="J10" i="5" s="1"/>
  <c r="I9" i="5"/>
  <c r="J9" i="5" s="1"/>
  <c r="I8" i="5"/>
  <c r="J8" i="5" s="1"/>
  <c r="D8" i="5"/>
  <c r="G8" i="5" s="1"/>
  <c r="I7" i="5"/>
  <c r="J7" i="5" s="1"/>
  <c r="D7" i="5"/>
  <c r="G7" i="5" s="1"/>
  <c r="I6" i="5"/>
  <c r="J6" i="5" s="1"/>
  <c r="D6" i="5"/>
  <c r="H6" i="5" s="1"/>
  <c r="I5" i="5"/>
  <c r="J5" i="5" s="1"/>
  <c r="D5" i="5"/>
  <c r="G5" i="5" s="1"/>
  <c r="H5" i="5" s="1"/>
  <c r="I4" i="5"/>
  <c r="J4" i="5" s="1"/>
  <c r="G4" i="5"/>
  <c r="H4" i="5" s="1"/>
  <c r="I3" i="5"/>
  <c r="J3" i="5" s="1"/>
  <c r="D3" i="5"/>
  <c r="G3" i="5" s="1"/>
  <c r="I2" i="5"/>
  <c r="J2" i="5" s="1"/>
  <c r="G2" i="5"/>
  <c r="D2" i="5"/>
  <c r="H2" i="5" s="1"/>
  <c r="H27" i="9" l="1"/>
  <c r="H26" i="9"/>
  <c r="G25" i="9"/>
  <c r="H25" i="9" s="1"/>
  <c r="H19" i="9"/>
  <c r="H18" i="9"/>
  <c r="N18" i="11"/>
  <c r="B34" i="11" s="1"/>
  <c r="G6" i="11"/>
  <c r="G14" i="11"/>
  <c r="H14" i="11" s="1"/>
  <c r="G20" i="11"/>
  <c r="G28" i="11"/>
  <c r="G3" i="11"/>
  <c r="H3" i="11" s="1"/>
  <c r="G11" i="11"/>
  <c r="H11" i="11" s="1"/>
  <c r="G25" i="11"/>
  <c r="G16" i="11"/>
  <c r="G2" i="11"/>
  <c r="H2" i="11" s="1"/>
  <c r="G10" i="11"/>
  <c r="H10" i="11" s="1"/>
  <c r="G18" i="11"/>
  <c r="G24" i="11"/>
  <c r="G7" i="11"/>
  <c r="H7" i="11" s="1"/>
  <c r="G15" i="11"/>
  <c r="H15" i="11" s="1"/>
  <c r="G21" i="11"/>
  <c r="G29" i="11"/>
  <c r="H13" i="9"/>
  <c r="H23" i="10"/>
  <c r="G22" i="10"/>
  <c r="H22" i="10" s="1"/>
  <c r="H17" i="10"/>
  <c r="H2" i="9"/>
  <c r="G6" i="9"/>
  <c r="G9" i="9"/>
  <c r="G7" i="9"/>
  <c r="H7" i="9" s="1"/>
  <c r="G15" i="9"/>
  <c r="H15" i="9" s="1"/>
  <c r="G9" i="10"/>
  <c r="G6" i="10"/>
  <c r="N18" i="10"/>
  <c r="B34" i="10" s="1"/>
  <c r="G3" i="10"/>
  <c r="G11" i="10"/>
  <c r="H11" i="10" s="1"/>
  <c r="G20" i="10"/>
  <c r="G28" i="10"/>
  <c r="H28" i="10" s="1"/>
  <c r="G5" i="10"/>
  <c r="G13" i="10"/>
  <c r="G2" i="10"/>
  <c r="G10" i="10"/>
  <c r="G18" i="10"/>
  <c r="H18" i="10" s="1"/>
  <c r="G19" i="10"/>
  <c r="G27" i="10"/>
  <c r="G7" i="10"/>
  <c r="H7" i="10" s="1"/>
  <c r="G15" i="10"/>
  <c r="H15" i="10" s="1"/>
  <c r="G24" i="10"/>
  <c r="H24" i="10" s="1"/>
  <c r="G21" i="10"/>
  <c r="H21" i="10" s="1"/>
  <c r="G29" i="10"/>
  <c r="H29" i="10" s="1"/>
  <c r="B34" i="9"/>
  <c r="G3" i="9"/>
  <c r="G11" i="9"/>
  <c r="H11" i="9" s="1"/>
  <c r="G20" i="9"/>
  <c r="G28" i="9"/>
  <c r="G5" i="9"/>
  <c r="H5" i="9" s="1"/>
  <c r="G13" i="9"/>
  <c r="G22" i="9"/>
  <c r="H22" i="9" s="1"/>
  <c r="G4" i="9"/>
  <c r="H4" i="9" s="1"/>
  <c r="G12" i="9"/>
  <c r="H12" i="9" s="1"/>
  <c r="G21" i="9"/>
  <c r="H21" i="9" s="1"/>
  <c r="G29" i="9"/>
  <c r="N18" i="6"/>
  <c r="H8" i="5"/>
  <c r="G27" i="5"/>
  <c r="H2" i="6"/>
  <c r="G5" i="6"/>
  <c r="H13" i="6"/>
  <c r="H17" i="5"/>
  <c r="M18" i="6" s="1"/>
  <c r="G12" i="6"/>
  <c r="G4" i="6"/>
  <c r="H3" i="8"/>
  <c r="G15" i="8"/>
  <c r="H15" i="8" s="1"/>
  <c r="G8" i="8"/>
  <c r="H20" i="8"/>
  <c r="N18" i="8"/>
  <c r="B34" i="8" s="1"/>
  <c r="G4" i="8"/>
  <c r="H4" i="8" s="1"/>
  <c r="G12" i="8"/>
  <c r="H12" i="8" s="1"/>
  <c r="G21" i="8"/>
  <c r="H21" i="8" s="1"/>
  <c r="G29" i="8"/>
  <c r="H29" i="8" s="1"/>
  <c r="G9" i="8"/>
  <c r="G17" i="8"/>
  <c r="G26" i="8"/>
  <c r="H26" i="8" s="1"/>
  <c r="G6" i="8"/>
  <c r="H6" i="8" s="1"/>
  <c r="G14" i="8"/>
  <c r="H14" i="8" s="1"/>
  <c r="G23" i="8"/>
  <c r="G20" i="8"/>
  <c r="G28" i="8"/>
  <c r="H28" i="8" s="1"/>
  <c r="G5" i="8"/>
  <c r="G13" i="8"/>
  <c r="G22" i="8"/>
  <c r="G19" i="6"/>
  <c r="H19" i="6" s="1"/>
  <c r="G10" i="5"/>
  <c r="H10" i="5" s="1"/>
  <c r="G27" i="6"/>
  <c r="H27" i="6" s="1"/>
  <c r="G25" i="6"/>
  <c r="G26" i="6"/>
  <c r="H26" i="6" s="1"/>
  <c r="H20" i="6"/>
  <c r="B34" i="6"/>
  <c r="G9" i="6"/>
  <c r="H9" i="6" s="1"/>
  <c r="G18" i="6"/>
  <c r="H18" i="6" s="1"/>
  <c r="G24" i="6"/>
  <c r="G6" i="6"/>
  <c r="G15" i="6"/>
  <c r="H15" i="6" s="1"/>
  <c r="G21" i="6"/>
  <c r="H21" i="6" s="1"/>
  <c r="G29" i="6"/>
  <c r="H29" i="6" s="1"/>
  <c r="G8" i="6"/>
  <c r="G17" i="6"/>
  <c r="G23" i="6"/>
  <c r="G32" i="5"/>
  <c r="H32" i="5" s="1"/>
  <c r="H28" i="5"/>
  <c r="H22" i="5"/>
  <c r="H3" i="5"/>
  <c r="H16" i="5"/>
  <c r="H7" i="5"/>
  <c r="H30" i="5"/>
  <c r="G9" i="5"/>
  <c r="H9" i="5" s="1"/>
  <c r="G18" i="5"/>
  <c r="H18" i="5" s="1"/>
  <c r="G24" i="5"/>
  <c r="G6" i="5"/>
  <c r="G15" i="5"/>
  <c r="H15" i="5" s="1"/>
  <c r="G21" i="5"/>
  <c r="H21" i="5" s="1"/>
  <c r="G29" i="5"/>
  <c r="H29" i="5" s="1"/>
  <c r="G26" i="5"/>
  <c r="G23" i="5"/>
  <c r="G31" i="5"/>
  <c r="D15" i="3"/>
  <c r="M18" i="11" l="1"/>
  <c r="A34" i="11" s="1"/>
  <c r="C34" i="11" s="1"/>
  <c r="M18" i="10"/>
  <c r="A34" i="10" s="1"/>
  <c r="C34" i="10" s="1"/>
  <c r="A34" i="9"/>
  <c r="C34" i="9" s="1"/>
  <c r="A34" i="6"/>
  <c r="M18" i="8"/>
  <c r="A34" i="8" s="1"/>
  <c r="C34" i="8" s="1"/>
  <c r="C34" i="6"/>
  <c r="D8" i="3"/>
  <c r="H8" i="3" s="1"/>
  <c r="D9" i="3"/>
  <c r="H15" i="3"/>
  <c r="D16" i="3"/>
  <c r="G16" i="3" s="1"/>
  <c r="D17" i="3"/>
  <c r="D19" i="3"/>
  <c r="D20" i="3"/>
  <c r="D21" i="3"/>
  <c r="G21" i="3" s="1"/>
  <c r="D22" i="3"/>
  <c r="D23" i="3"/>
  <c r="H23" i="3" s="1"/>
  <c r="D24" i="3"/>
  <c r="G24" i="3" s="1"/>
  <c r="D25" i="3"/>
  <c r="G25" i="3" s="1"/>
  <c r="D26" i="3"/>
  <c r="D27" i="3"/>
  <c r="D28" i="3"/>
  <c r="D29" i="3"/>
  <c r="H29" i="3" s="1"/>
  <c r="D30" i="3"/>
  <c r="G30" i="3" s="1"/>
  <c r="H30" i="3" s="1"/>
  <c r="D31" i="3"/>
  <c r="H31" i="3" s="1"/>
  <c r="D32" i="3"/>
  <c r="D3" i="3"/>
  <c r="G3" i="3" s="1"/>
  <c r="H3" i="3" s="1"/>
  <c r="D4" i="3"/>
  <c r="D5" i="3"/>
  <c r="D6" i="3"/>
  <c r="H6" i="3" s="1"/>
  <c r="D7" i="3"/>
  <c r="D2" i="3"/>
  <c r="I32" i="3"/>
  <c r="J32" i="3" s="1"/>
  <c r="H32" i="3"/>
  <c r="G32" i="3"/>
  <c r="I31" i="3"/>
  <c r="J31" i="3" s="1"/>
  <c r="I30" i="3"/>
  <c r="J30" i="3" s="1"/>
  <c r="I29" i="3"/>
  <c r="J29" i="3" s="1"/>
  <c r="G29" i="3"/>
  <c r="I28" i="3"/>
  <c r="J28" i="3" s="1"/>
  <c r="G28" i="3"/>
  <c r="H28" i="3" s="1"/>
  <c r="J27" i="3"/>
  <c r="I27" i="3"/>
  <c r="H27" i="3"/>
  <c r="G27" i="3"/>
  <c r="I26" i="3"/>
  <c r="J26" i="3" s="1"/>
  <c r="G26" i="3"/>
  <c r="H26" i="3" s="1"/>
  <c r="I25" i="3"/>
  <c r="J25" i="3" s="1"/>
  <c r="I24" i="3"/>
  <c r="J24" i="3" s="1"/>
  <c r="I23" i="3"/>
  <c r="J23" i="3" s="1"/>
  <c r="I22" i="3"/>
  <c r="J22" i="3" s="1"/>
  <c r="H22" i="3"/>
  <c r="G22" i="3"/>
  <c r="I21" i="3"/>
  <c r="J21" i="3" s="1"/>
  <c r="I20" i="3"/>
  <c r="J20" i="3" s="1"/>
  <c r="G20" i="3"/>
  <c r="H20" i="3" s="1"/>
  <c r="I19" i="3"/>
  <c r="J19" i="3" s="1"/>
  <c r="I18" i="3"/>
  <c r="J18" i="3" s="1"/>
  <c r="G18" i="3"/>
  <c r="H18" i="3" s="1"/>
  <c r="I17" i="3"/>
  <c r="J17" i="3" s="1"/>
  <c r="I16" i="3"/>
  <c r="J16" i="3" s="1"/>
  <c r="H16" i="3"/>
  <c r="I15" i="3"/>
  <c r="J15" i="3" s="1"/>
  <c r="I14" i="3"/>
  <c r="J14" i="3" s="1"/>
  <c r="G14" i="3"/>
  <c r="H14" i="3" s="1"/>
  <c r="I13" i="3"/>
  <c r="J13" i="3" s="1"/>
  <c r="G13" i="3"/>
  <c r="H13" i="3" s="1"/>
  <c r="I12" i="3"/>
  <c r="J12" i="3" s="1"/>
  <c r="G12" i="3"/>
  <c r="H12" i="3" s="1"/>
  <c r="I11" i="3"/>
  <c r="J11" i="3" s="1"/>
  <c r="H11" i="3"/>
  <c r="G11" i="3"/>
  <c r="I10" i="3"/>
  <c r="J10" i="3" s="1"/>
  <c r="G10" i="3"/>
  <c r="H10" i="3" s="1"/>
  <c r="I9" i="3"/>
  <c r="J9" i="3" s="1"/>
  <c r="H9" i="3"/>
  <c r="G9" i="3"/>
  <c r="I8" i="3"/>
  <c r="J8" i="3" s="1"/>
  <c r="I7" i="3"/>
  <c r="J7" i="3" s="1"/>
  <c r="I6" i="3"/>
  <c r="J6" i="3" s="1"/>
  <c r="I5" i="3"/>
  <c r="J5" i="3" s="1"/>
  <c r="G5" i="3"/>
  <c r="H5" i="3" s="1"/>
  <c r="I4" i="3"/>
  <c r="J4" i="3" s="1"/>
  <c r="G4" i="3"/>
  <c r="H4" i="3" s="1"/>
  <c r="I3" i="3"/>
  <c r="J3" i="3" s="1"/>
  <c r="I2" i="3"/>
  <c r="J2" i="3" s="1"/>
  <c r="J22" i="1"/>
  <c r="J2" i="1"/>
  <c r="J3" i="1"/>
  <c r="J4" i="1"/>
  <c r="J8" i="1"/>
  <c r="J9" i="1"/>
  <c r="J10" i="1"/>
  <c r="J11" i="1"/>
  <c r="J12" i="1"/>
  <c r="J16" i="1"/>
  <c r="I18" i="1"/>
  <c r="J18" i="1" s="1"/>
  <c r="I19" i="1"/>
  <c r="J19" i="1" s="1"/>
  <c r="I20" i="1"/>
  <c r="J20" i="1" s="1"/>
  <c r="I21" i="1"/>
  <c r="J21" i="1" s="1"/>
  <c r="I22" i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2" i="1"/>
  <c r="I3" i="1"/>
  <c r="I4" i="1"/>
  <c r="I5" i="1"/>
  <c r="J5" i="1" s="1"/>
  <c r="I6" i="1"/>
  <c r="J6" i="1" s="1"/>
  <c r="I7" i="1"/>
  <c r="J7" i="1" s="1"/>
  <c r="I8" i="1"/>
  <c r="I9" i="1"/>
  <c r="I10" i="1"/>
  <c r="I11" i="1"/>
  <c r="I12" i="1"/>
  <c r="I13" i="1"/>
  <c r="J13" i="1" s="1"/>
  <c r="I14" i="1"/>
  <c r="J14" i="1" s="1"/>
  <c r="I15" i="1"/>
  <c r="J15" i="1" s="1"/>
  <c r="I16" i="1"/>
  <c r="I17" i="1"/>
  <c r="J17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8" i="1"/>
  <c r="H29" i="1"/>
  <c r="H31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H19" i="1" s="1"/>
  <c r="G20" i="1"/>
  <c r="G21" i="1"/>
  <c r="G22" i="1"/>
  <c r="G23" i="1"/>
  <c r="G24" i="1"/>
  <c r="G25" i="1"/>
  <c r="G26" i="1"/>
  <c r="H26" i="1" s="1"/>
  <c r="G27" i="1"/>
  <c r="H27" i="1" s="1"/>
  <c r="G28" i="1"/>
  <c r="G29" i="1"/>
  <c r="G30" i="1"/>
  <c r="H30" i="1" s="1"/>
  <c r="H25" i="3" l="1"/>
  <c r="G8" i="3"/>
  <c r="N18" i="5"/>
  <c r="B34" i="5" s="1"/>
  <c r="H24" i="3"/>
  <c r="H21" i="3"/>
  <c r="G19" i="3"/>
  <c r="H19" i="3" s="1"/>
  <c r="G17" i="3"/>
  <c r="H17" i="3" s="1"/>
  <c r="M18" i="5" s="1"/>
  <c r="A34" i="5" s="1"/>
  <c r="C34" i="5" s="1"/>
  <c r="G15" i="3"/>
  <c r="G23" i="3"/>
  <c r="G31" i="3"/>
  <c r="G7" i="3"/>
  <c r="H7" i="3" s="1"/>
  <c r="G6" i="3"/>
  <c r="G2" i="3"/>
  <c r="H2" i="3" s="1"/>
  <c r="N18" i="3"/>
  <c r="B34" i="3" s="1"/>
  <c r="G31" i="1"/>
  <c r="M18" i="3" l="1"/>
  <c r="A34" i="3" s="1"/>
  <c r="C34" i="3" s="1"/>
</calcChain>
</file>

<file path=xl/sharedStrings.xml><?xml version="1.0" encoding="utf-8"?>
<sst xmlns="http://schemas.openxmlformats.org/spreadsheetml/2006/main" count="110" uniqueCount="15">
  <si>
    <t>วัน/เดือน/ปี</t>
    <phoneticPr fontId="1" type="noConversion"/>
  </si>
  <si>
    <t>เวลาทำงานปกติ</t>
    <phoneticPr fontId="1" type="noConversion"/>
  </si>
  <si>
    <t>ot ( hr/min)</t>
    <phoneticPr fontId="1" type="noConversion"/>
  </si>
  <si>
    <t>Ot x 1</t>
    <phoneticPr fontId="1" type="noConversion"/>
  </si>
  <si>
    <t>Ot x 1.5</t>
    <phoneticPr fontId="1" type="noConversion"/>
  </si>
  <si>
    <t>เวลาเลิก จ-ศ</t>
    <phoneticPr fontId="1" type="noConversion"/>
  </si>
  <si>
    <t>เวลาเลิก ส-อ</t>
    <phoneticPr fontId="1" type="noConversion"/>
  </si>
  <si>
    <t>เวลาพัก ot จ-ศ</t>
    <phoneticPr fontId="1" type="noConversion"/>
  </si>
  <si>
    <t>รวม ot</t>
    <phoneticPr fontId="1" type="noConversion"/>
  </si>
  <si>
    <t>1.5 Hr.</t>
    <phoneticPr fontId="1" type="noConversion"/>
  </si>
  <si>
    <t>1 Hr.</t>
    <phoneticPr fontId="1" type="noConversion"/>
  </si>
  <si>
    <t>OT ประจำเดือน Dec.24</t>
    <phoneticPr fontId="1" type="noConversion"/>
  </si>
  <si>
    <t>OT ประจำเดือน FEB.24</t>
    <phoneticPr fontId="1" type="noConversion"/>
  </si>
  <si>
    <t>Ot x 3</t>
    <phoneticPr fontId="1" type="noConversion"/>
  </si>
  <si>
    <t>3Hr.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</si>
</sst>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"/>
    <numFmt numFmtId="188" formatCode="0.0_ "/>
    <numFmt numFmtId="189" formatCode="[$-1010409]d\ mmm\ yy;@"/>
  </numFmts>
  <fonts count="7" x14ac:knownFonts="1">
    <font>
      <sz val="11"/>
      <color theme="1"/>
      <name val="Tahoma"/>
      <family val="2"/>
      <charset val="134"/>
      <scheme val="minor"/>
    </font>
    <font>
      <sz val="9"/>
      <name val="Tahoma"/>
      <family val="2"/>
      <charset val="134"/>
      <scheme val="minor"/>
    </font>
    <font>
      <sz val="18"/>
      <color theme="1"/>
      <name val="Angsana New"/>
      <family val="1"/>
    </font>
    <font>
      <sz val="18"/>
      <color rgb="FFFF0000"/>
      <name val="Angsana New"/>
      <family val="1"/>
    </font>
    <font>
      <sz val="18"/>
      <name val="Angsana New"/>
      <family val="1"/>
    </font>
    <font>
      <sz val="18"/>
      <color rgb="FFEE0000"/>
      <name val="Angsana New"/>
      <family val="1"/>
    </font>
    <font>
      <sz val="18"/>
      <color theme="1" tint="4.9989318521683403E-2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89" fontId="5" fillId="0" borderId="1" xfId="0" applyNumberFormat="1" applyFont="1" applyBorder="1" applyAlignment="1">
      <alignment horizontal="center" vertical="center"/>
    </xf>
    <xf numFmtId="189" fontId="4" fillId="0" borderId="1" xfId="0" applyNumberFormat="1" applyFont="1" applyBorder="1" applyAlignment="1">
      <alignment horizontal="center" vertical="center"/>
    </xf>
    <xf numFmtId="18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8E7E-A54F-429A-908D-01959A614765}">
  <dimension ref="A1:J437"/>
  <sheetViews>
    <sheetView zoomScaleNormal="100" workbookViewId="0">
      <pane ySplit="1" topLeftCell="A17" activePane="bottomLeft" state="frozen"/>
      <selection pane="bottomLeft" activeCell="N20" sqref="N20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0" style="1" hidden="1" customWidth="1"/>
    <col min="10" max="16384" width="9" style="1"/>
  </cols>
  <sheetData>
    <row r="1" spans="1:10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10" t="s">
        <v>3</v>
      </c>
      <c r="J1" s="10" t="s">
        <v>3</v>
      </c>
    </row>
    <row r="2" spans="1:10" ht="30" customHeight="1" x14ac:dyDescent="0.2">
      <c r="A2" s="3">
        <v>45597</v>
      </c>
      <c r="B2" s="4">
        <v>8</v>
      </c>
      <c r="C2" s="6"/>
      <c r="D2" s="6"/>
      <c r="E2" s="6"/>
      <c r="F2" s="6"/>
      <c r="G2" s="7">
        <f t="shared" ref="G2:G30" si="0">E2-D2</f>
        <v>0</v>
      </c>
      <c r="H2" s="8" t="str">
        <f>IF(D2&lt;&gt;"",IF(MOD(G2,1)&lt;&gt;0,G2+0.2,G2),"")</f>
        <v/>
      </c>
      <c r="I2" s="6" t="str">
        <f t="shared" ref="I2:I31" si="1">IF(F2&lt;&gt;"",(F2-B2)-1,"")</f>
        <v/>
      </c>
      <c r="J2" s="6" t="str">
        <f t="shared" ref="J2:J16" si="2">IF(I2&lt;&gt;"",IF(MOD(I2,1)&lt;&gt;0,I2-0.2,I2),"")</f>
        <v/>
      </c>
    </row>
    <row r="3" spans="1:10" ht="30" customHeight="1" x14ac:dyDescent="0.2">
      <c r="A3" s="5">
        <v>45598</v>
      </c>
      <c r="B3" s="4">
        <v>8</v>
      </c>
      <c r="C3" s="6"/>
      <c r="D3" s="6"/>
      <c r="E3" s="6"/>
      <c r="F3" s="6"/>
      <c r="G3" s="7">
        <f t="shared" si="0"/>
        <v>0</v>
      </c>
      <c r="H3" s="8" t="str">
        <f t="shared" ref="H3:H31" si="3">IF(D3&lt;&gt;"",IF(MOD(G3,1)&lt;&gt;0,G3+0.2,G3),"")</f>
        <v/>
      </c>
      <c r="I3" s="6" t="str">
        <f t="shared" si="1"/>
        <v/>
      </c>
      <c r="J3" s="6" t="str">
        <f t="shared" si="2"/>
        <v/>
      </c>
    </row>
    <row r="4" spans="1:10" ht="30" customHeight="1" x14ac:dyDescent="0.2">
      <c r="A4" s="5">
        <v>45599</v>
      </c>
      <c r="B4" s="4">
        <v>8</v>
      </c>
      <c r="C4" s="6"/>
      <c r="D4" s="6"/>
      <c r="E4" s="6"/>
      <c r="F4" s="6"/>
      <c r="G4" s="7">
        <f t="shared" si="0"/>
        <v>0</v>
      </c>
      <c r="H4" s="8" t="str">
        <f t="shared" si="3"/>
        <v/>
      </c>
      <c r="I4" s="6" t="str">
        <f t="shared" si="1"/>
        <v/>
      </c>
      <c r="J4" s="6" t="str">
        <f t="shared" si="2"/>
        <v/>
      </c>
    </row>
    <row r="5" spans="1:10" ht="30" customHeight="1" x14ac:dyDescent="0.2">
      <c r="A5" s="3">
        <v>45600</v>
      </c>
      <c r="B5" s="4">
        <v>8</v>
      </c>
      <c r="C5" s="6"/>
      <c r="D5" s="6"/>
      <c r="E5" s="6"/>
      <c r="F5" s="6"/>
      <c r="G5" s="7">
        <f t="shared" si="0"/>
        <v>0</v>
      </c>
      <c r="H5" s="8" t="str">
        <f t="shared" si="3"/>
        <v/>
      </c>
      <c r="I5" s="6" t="str">
        <f t="shared" si="1"/>
        <v/>
      </c>
      <c r="J5" s="6" t="str">
        <f t="shared" si="2"/>
        <v/>
      </c>
    </row>
    <row r="6" spans="1:10" ht="30" customHeight="1" x14ac:dyDescent="0.2">
      <c r="A6" s="3">
        <v>45601</v>
      </c>
      <c r="B6" s="4">
        <v>8</v>
      </c>
      <c r="C6" s="6"/>
      <c r="D6" s="6"/>
      <c r="E6" s="6"/>
      <c r="F6" s="6"/>
      <c r="G6" s="7">
        <f t="shared" si="0"/>
        <v>0</v>
      </c>
      <c r="H6" s="8" t="str">
        <f t="shared" si="3"/>
        <v/>
      </c>
      <c r="I6" s="6" t="str">
        <f t="shared" si="1"/>
        <v/>
      </c>
      <c r="J6" s="6" t="str">
        <f t="shared" si="2"/>
        <v/>
      </c>
    </row>
    <row r="7" spans="1:10" ht="30" customHeight="1" x14ac:dyDescent="0.2">
      <c r="A7" s="3">
        <v>45602</v>
      </c>
      <c r="B7" s="4">
        <v>8</v>
      </c>
      <c r="C7" s="6"/>
      <c r="D7" s="6"/>
      <c r="E7" s="6"/>
      <c r="F7" s="6"/>
      <c r="G7" s="7">
        <f t="shared" si="0"/>
        <v>0</v>
      </c>
      <c r="H7" s="8" t="str">
        <f t="shared" si="3"/>
        <v/>
      </c>
      <c r="I7" s="6" t="str">
        <f t="shared" si="1"/>
        <v/>
      </c>
      <c r="J7" s="6" t="str">
        <f t="shared" si="2"/>
        <v/>
      </c>
    </row>
    <row r="8" spans="1:10" ht="30" customHeight="1" x14ac:dyDescent="0.2">
      <c r="A8" s="3">
        <v>45603</v>
      </c>
      <c r="B8" s="4">
        <v>8</v>
      </c>
      <c r="C8" s="6"/>
      <c r="D8" s="6"/>
      <c r="E8" s="6"/>
      <c r="F8" s="6"/>
      <c r="G8" s="7">
        <f t="shared" si="0"/>
        <v>0</v>
      </c>
      <c r="H8" s="8" t="str">
        <f t="shared" si="3"/>
        <v/>
      </c>
      <c r="I8" s="6" t="str">
        <f t="shared" si="1"/>
        <v/>
      </c>
      <c r="J8" s="6" t="str">
        <f t="shared" si="2"/>
        <v/>
      </c>
    </row>
    <row r="9" spans="1:10" ht="30" customHeight="1" x14ac:dyDescent="0.2">
      <c r="A9" s="3">
        <v>45604</v>
      </c>
      <c r="B9" s="4">
        <v>8</v>
      </c>
      <c r="C9" s="6"/>
      <c r="D9" s="6"/>
      <c r="E9" s="6"/>
      <c r="F9" s="6"/>
      <c r="G9" s="7">
        <f t="shared" si="0"/>
        <v>0</v>
      </c>
      <c r="H9" s="8" t="str">
        <f t="shared" si="3"/>
        <v/>
      </c>
      <c r="I9" s="6" t="str">
        <f t="shared" si="1"/>
        <v/>
      </c>
      <c r="J9" s="6" t="str">
        <f t="shared" si="2"/>
        <v/>
      </c>
    </row>
    <row r="10" spans="1:10" ht="30" customHeight="1" x14ac:dyDescent="0.2">
      <c r="A10" s="5">
        <v>45605</v>
      </c>
      <c r="B10" s="4">
        <v>8</v>
      </c>
      <c r="C10" s="6"/>
      <c r="D10" s="6"/>
      <c r="E10" s="6"/>
      <c r="F10" s="6"/>
      <c r="G10" s="7">
        <f t="shared" si="0"/>
        <v>0</v>
      </c>
      <c r="H10" s="8" t="str">
        <f t="shared" si="3"/>
        <v/>
      </c>
      <c r="I10" s="6" t="str">
        <f t="shared" si="1"/>
        <v/>
      </c>
      <c r="J10" s="6" t="str">
        <f t="shared" si="2"/>
        <v/>
      </c>
    </row>
    <row r="11" spans="1:10" ht="30" customHeight="1" x14ac:dyDescent="0.2">
      <c r="A11" s="5">
        <v>45606</v>
      </c>
      <c r="B11" s="4">
        <v>8</v>
      </c>
      <c r="C11" s="6"/>
      <c r="D11" s="6"/>
      <c r="E11" s="6"/>
      <c r="F11" s="6"/>
      <c r="G11" s="7">
        <f t="shared" si="0"/>
        <v>0</v>
      </c>
      <c r="H11" s="8" t="str">
        <f t="shared" si="3"/>
        <v/>
      </c>
      <c r="I11" s="6" t="str">
        <f t="shared" si="1"/>
        <v/>
      </c>
      <c r="J11" s="6" t="str">
        <f t="shared" si="2"/>
        <v/>
      </c>
    </row>
    <row r="12" spans="1:10" ht="30" customHeight="1" x14ac:dyDescent="0.2">
      <c r="A12" s="3">
        <v>45607</v>
      </c>
      <c r="B12" s="4">
        <v>8</v>
      </c>
      <c r="C12" s="6"/>
      <c r="D12" s="6"/>
      <c r="E12" s="6"/>
      <c r="F12" s="6"/>
      <c r="G12" s="7">
        <f t="shared" si="0"/>
        <v>0</v>
      </c>
      <c r="H12" s="8" t="str">
        <f t="shared" si="3"/>
        <v/>
      </c>
      <c r="I12" s="6" t="str">
        <f t="shared" si="1"/>
        <v/>
      </c>
      <c r="J12" s="6" t="str">
        <f t="shared" si="2"/>
        <v/>
      </c>
    </row>
    <row r="13" spans="1:10" ht="30" customHeight="1" x14ac:dyDescent="0.2">
      <c r="A13" s="3">
        <v>45608</v>
      </c>
      <c r="B13" s="4">
        <v>8</v>
      </c>
      <c r="C13" s="6"/>
      <c r="D13" s="6"/>
      <c r="E13" s="6"/>
      <c r="F13" s="6"/>
      <c r="G13" s="7">
        <f t="shared" si="0"/>
        <v>0</v>
      </c>
      <c r="H13" s="8" t="str">
        <f t="shared" si="3"/>
        <v/>
      </c>
      <c r="I13" s="6" t="str">
        <f t="shared" si="1"/>
        <v/>
      </c>
      <c r="J13" s="6" t="str">
        <f t="shared" si="2"/>
        <v/>
      </c>
    </row>
    <row r="14" spans="1:10" ht="30" customHeight="1" x14ac:dyDescent="0.2">
      <c r="A14" s="3">
        <v>45609</v>
      </c>
      <c r="B14" s="4">
        <v>8</v>
      </c>
      <c r="C14" s="6"/>
      <c r="D14" s="6"/>
      <c r="E14" s="6"/>
      <c r="F14" s="6"/>
      <c r="G14" s="7">
        <f t="shared" si="0"/>
        <v>0</v>
      </c>
      <c r="H14" s="8" t="str">
        <f t="shared" si="3"/>
        <v/>
      </c>
      <c r="I14" s="6" t="str">
        <f t="shared" si="1"/>
        <v/>
      </c>
      <c r="J14" s="6" t="str">
        <f t="shared" si="2"/>
        <v/>
      </c>
    </row>
    <row r="15" spans="1:10" ht="30" customHeight="1" x14ac:dyDescent="0.2">
      <c r="A15" s="3">
        <v>45610</v>
      </c>
      <c r="B15" s="4">
        <v>8</v>
      </c>
      <c r="C15" s="6"/>
      <c r="D15" s="6"/>
      <c r="E15" s="6"/>
      <c r="F15" s="6"/>
      <c r="G15" s="7">
        <f t="shared" si="0"/>
        <v>0</v>
      </c>
      <c r="H15" s="8" t="str">
        <f t="shared" si="3"/>
        <v/>
      </c>
      <c r="I15" s="6" t="str">
        <f t="shared" si="1"/>
        <v/>
      </c>
      <c r="J15" s="6" t="str">
        <f t="shared" si="2"/>
        <v/>
      </c>
    </row>
    <row r="16" spans="1:10" ht="30" customHeight="1" x14ac:dyDescent="0.2">
      <c r="A16" s="3">
        <v>45611</v>
      </c>
      <c r="B16" s="4">
        <v>8</v>
      </c>
      <c r="C16" s="4">
        <v>17</v>
      </c>
      <c r="D16" s="6"/>
      <c r="E16" s="4">
        <v>17</v>
      </c>
      <c r="F16" s="6"/>
      <c r="G16" s="7">
        <f t="shared" si="0"/>
        <v>17</v>
      </c>
      <c r="H16" s="8" t="str">
        <f t="shared" si="3"/>
        <v/>
      </c>
      <c r="I16" s="6" t="str">
        <f t="shared" si="1"/>
        <v/>
      </c>
      <c r="J16" s="6" t="str">
        <f t="shared" si="2"/>
        <v/>
      </c>
    </row>
    <row r="17" spans="1:10" ht="30" customHeight="1" x14ac:dyDescent="0.2">
      <c r="A17" s="5">
        <v>45612</v>
      </c>
      <c r="B17" s="4">
        <v>9</v>
      </c>
      <c r="C17" s="4">
        <v>17</v>
      </c>
      <c r="D17" s="6"/>
      <c r="E17" s="6"/>
      <c r="F17" s="4">
        <v>17</v>
      </c>
      <c r="G17" s="7">
        <f t="shared" si="0"/>
        <v>0</v>
      </c>
      <c r="H17" s="8" t="str">
        <f t="shared" si="3"/>
        <v/>
      </c>
      <c r="I17" s="6">
        <f>IF(F17&lt;&gt;"",(F17-B17)-1,"")</f>
        <v>7</v>
      </c>
      <c r="J17" s="6">
        <f>IF(I17&lt;&gt;"",IF(MOD(I17,1)&lt;&gt;0,I17-0.2,I17),"")</f>
        <v>7</v>
      </c>
    </row>
    <row r="18" spans="1:10" ht="30" customHeight="1" x14ac:dyDescent="0.2">
      <c r="A18" s="5">
        <v>45613</v>
      </c>
      <c r="B18" s="4">
        <v>8</v>
      </c>
      <c r="C18" s="4"/>
      <c r="D18" s="6"/>
      <c r="E18" s="6"/>
      <c r="F18" s="6"/>
      <c r="G18" s="7">
        <f t="shared" si="0"/>
        <v>0</v>
      </c>
      <c r="H18" s="8" t="str">
        <f t="shared" si="3"/>
        <v/>
      </c>
      <c r="I18" s="6" t="str">
        <f t="shared" si="1"/>
        <v/>
      </c>
      <c r="J18" s="6" t="str">
        <f t="shared" ref="J18:J31" si="4">IF(I18&lt;&gt;"",IF(MOD(I18,1)&lt;&gt;0,I18-0.2,I18),"")</f>
        <v/>
      </c>
    </row>
    <row r="19" spans="1:10" ht="30" customHeight="1" x14ac:dyDescent="0.2">
      <c r="A19" s="3">
        <v>45614</v>
      </c>
      <c r="B19" s="4">
        <v>8</v>
      </c>
      <c r="C19" s="4">
        <v>17</v>
      </c>
      <c r="D19" s="4">
        <v>17.2</v>
      </c>
      <c r="E19" s="6">
        <v>19.510000000000002</v>
      </c>
      <c r="F19" s="6"/>
      <c r="G19" s="7">
        <f t="shared" si="0"/>
        <v>2.3100000000000023</v>
      </c>
      <c r="H19" s="8">
        <f t="shared" si="3"/>
        <v>2.5100000000000025</v>
      </c>
      <c r="I19" s="6" t="str">
        <f t="shared" si="1"/>
        <v/>
      </c>
      <c r="J19" s="6" t="str">
        <f t="shared" si="4"/>
        <v/>
      </c>
    </row>
    <row r="20" spans="1:10" ht="30" customHeight="1" x14ac:dyDescent="0.2">
      <c r="A20" s="3">
        <v>45615</v>
      </c>
      <c r="B20" s="4">
        <v>8</v>
      </c>
      <c r="C20" s="4">
        <v>17</v>
      </c>
      <c r="D20" s="4">
        <v>17.2</v>
      </c>
      <c r="E20" s="6">
        <v>19.510000000000002</v>
      </c>
      <c r="F20" s="6"/>
      <c r="G20" s="7">
        <f t="shared" si="0"/>
        <v>2.3100000000000023</v>
      </c>
      <c r="H20" s="8">
        <f t="shared" si="3"/>
        <v>2.5100000000000025</v>
      </c>
      <c r="I20" s="6" t="str">
        <f t="shared" si="1"/>
        <v/>
      </c>
      <c r="J20" s="6" t="str">
        <f t="shared" si="4"/>
        <v/>
      </c>
    </row>
    <row r="21" spans="1:10" ht="30" customHeight="1" x14ac:dyDescent="0.2">
      <c r="A21" s="3">
        <v>45616</v>
      </c>
      <c r="B21" s="4">
        <v>8</v>
      </c>
      <c r="C21" s="4">
        <v>17</v>
      </c>
      <c r="D21" s="4">
        <v>17.2</v>
      </c>
      <c r="E21" s="4">
        <v>19.5</v>
      </c>
      <c r="F21" s="4"/>
      <c r="G21" s="7">
        <f t="shared" si="0"/>
        <v>2.3000000000000007</v>
      </c>
      <c r="H21" s="8">
        <f t="shared" si="3"/>
        <v>2.5000000000000009</v>
      </c>
      <c r="I21" s="6" t="str">
        <f t="shared" si="1"/>
        <v/>
      </c>
      <c r="J21" s="6" t="str">
        <f t="shared" si="4"/>
        <v/>
      </c>
    </row>
    <row r="22" spans="1:10" ht="30" customHeight="1" x14ac:dyDescent="0.2">
      <c r="A22" s="3">
        <v>45617</v>
      </c>
      <c r="B22" s="4">
        <v>8</v>
      </c>
      <c r="C22" s="4">
        <v>17</v>
      </c>
      <c r="D22" s="4"/>
      <c r="E22" s="6">
        <v>17.05</v>
      </c>
      <c r="F22" s="6"/>
      <c r="G22" s="7">
        <f t="shared" si="0"/>
        <v>17.05</v>
      </c>
      <c r="H22" s="8" t="str">
        <f t="shared" si="3"/>
        <v/>
      </c>
      <c r="I22" s="6" t="str">
        <f t="shared" si="1"/>
        <v/>
      </c>
      <c r="J22" s="6" t="str">
        <f t="shared" si="4"/>
        <v/>
      </c>
    </row>
    <row r="23" spans="1:10" ht="30" customHeight="1" x14ac:dyDescent="0.2">
      <c r="A23" s="3">
        <v>45618</v>
      </c>
      <c r="B23" s="4">
        <v>8</v>
      </c>
      <c r="C23" s="4">
        <v>17</v>
      </c>
      <c r="D23" s="4">
        <v>17.2</v>
      </c>
      <c r="E23" s="4">
        <v>19.2</v>
      </c>
      <c r="F23" s="6"/>
      <c r="G23" s="7">
        <f t="shared" si="0"/>
        <v>2</v>
      </c>
      <c r="H23" s="8">
        <f t="shared" si="3"/>
        <v>2</v>
      </c>
      <c r="I23" s="6" t="str">
        <f t="shared" si="1"/>
        <v/>
      </c>
      <c r="J23" s="6" t="str">
        <f t="shared" si="4"/>
        <v/>
      </c>
    </row>
    <row r="24" spans="1:10" ht="30" customHeight="1" x14ac:dyDescent="0.2">
      <c r="A24" s="5">
        <v>45619</v>
      </c>
      <c r="B24" s="4">
        <v>8.3000000000000007</v>
      </c>
      <c r="C24" s="4">
        <v>17</v>
      </c>
      <c r="D24" s="4"/>
      <c r="E24" s="6"/>
      <c r="F24" s="4">
        <v>17</v>
      </c>
      <c r="G24" s="7">
        <f t="shared" si="0"/>
        <v>0</v>
      </c>
      <c r="H24" s="8" t="str">
        <f t="shared" si="3"/>
        <v/>
      </c>
      <c r="I24" s="6">
        <f t="shared" si="1"/>
        <v>7.6999999999999993</v>
      </c>
      <c r="J24" s="6">
        <f t="shared" si="4"/>
        <v>7.4999999999999991</v>
      </c>
    </row>
    <row r="25" spans="1:10" ht="30" customHeight="1" x14ac:dyDescent="0.2">
      <c r="A25" s="5">
        <v>45620</v>
      </c>
      <c r="B25" s="4">
        <v>8</v>
      </c>
      <c r="C25" s="6"/>
      <c r="D25" s="6"/>
      <c r="E25" s="6"/>
      <c r="F25" s="6"/>
      <c r="G25" s="7">
        <f t="shared" si="0"/>
        <v>0</v>
      </c>
      <c r="H25" s="8" t="str">
        <f t="shared" si="3"/>
        <v/>
      </c>
      <c r="I25" s="6" t="str">
        <f t="shared" si="1"/>
        <v/>
      </c>
      <c r="J25" s="6" t="str">
        <f t="shared" si="4"/>
        <v/>
      </c>
    </row>
    <row r="26" spans="1:10" ht="30" customHeight="1" x14ac:dyDescent="0.2">
      <c r="A26" s="3">
        <v>45621</v>
      </c>
      <c r="B26" s="4">
        <v>8</v>
      </c>
      <c r="C26" s="4">
        <v>17</v>
      </c>
      <c r="D26" s="4">
        <v>17.2</v>
      </c>
      <c r="E26" s="4">
        <v>18.2</v>
      </c>
      <c r="F26" s="4"/>
      <c r="G26" s="7">
        <f t="shared" si="0"/>
        <v>1</v>
      </c>
      <c r="H26" s="8">
        <f t="shared" si="3"/>
        <v>1</v>
      </c>
      <c r="I26" s="6" t="str">
        <f t="shared" si="1"/>
        <v/>
      </c>
      <c r="J26" s="6" t="str">
        <f t="shared" si="4"/>
        <v/>
      </c>
    </row>
    <row r="27" spans="1:10" ht="30" customHeight="1" x14ac:dyDescent="0.2">
      <c r="A27" s="3">
        <v>45622</v>
      </c>
      <c r="B27" s="4">
        <v>8</v>
      </c>
      <c r="C27" s="4">
        <v>17</v>
      </c>
      <c r="D27" s="4">
        <v>17.2</v>
      </c>
      <c r="E27" s="4">
        <v>20.5</v>
      </c>
      <c r="F27" s="4"/>
      <c r="G27" s="7">
        <f t="shared" si="0"/>
        <v>3.3000000000000007</v>
      </c>
      <c r="H27" s="8">
        <f t="shared" si="3"/>
        <v>3.5000000000000009</v>
      </c>
      <c r="I27" s="6" t="str">
        <f t="shared" si="1"/>
        <v/>
      </c>
      <c r="J27" s="6" t="str">
        <f t="shared" si="4"/>
        <v/>
      </c>
    </row>
    <row r="28" spans="1:10" ht="30" customHeight="1" x14ac:dyDescent="0.2">
      <c r="A28" s="3">
        <v>45623</v>
      </c>
      <c r="B28" s="4">
        <v>8</v>
      </c>
      <c r="C28" s="4">
        <v>17</v>
      </c>
      <c r="D28" s="4">
        <v>17.2</v>
      </c>
      <c r="E28" s="4">
        <v>19.5</v>
      </c>
      <c r="F28" s="4"/>
      <c r="G28" s="7">
        <f t="shared" si="0"/>
        <v>2.3000000000000007</v>
      </c>
      <c r="H28" s="8">
        <f t="shared" si="3"/>
        <v>2.5000000000000009</v>
      </c>
      <c r="I28" s="6" t="str">
        <f t="shared" si="1"/>
        <v/>
      </c>
      <c r="J28" s="6" t="str">
        <f t="shared" si="4"/>
        <v/>
      </c>
    </row>
    <row r="29" spans="1:10" ht="30" customHeight="1" x14ac:dyDescent="0.2">
      <c r="A29" s="3">
        <v>45624</v>
      </c>
      <c r="B29" s="4">
        <v>8</v>
      </c>
      <c r="C29" s="4">
        <v>17</v>
      </c>
      <c r="D29" s="4"/>
      <c r="E29" s="4">
        <v>17</v>
      </c>
      <c r="F29" s="4"/>
      <c r="G29" s="7">
        <f t="shared" si="0"/>
        <v>17</v>
      </c>
      <c r="H29" s="8" t="str">
        <f t="shared" si="3"/>
        <v/>
      </c>
      <c r="I29" s="6" t="str">
        <f t="shared" si="1"/>
        <v/>
      </c>
      <c r="J29" s="6" t="str">
        <f t="shared" si="4"/>
        <v/>
      </c>
    </row>
    <row r="30" spans="1:10" ht="30" customHeight="1" x14ac:dyDescent="0.2">
      <c r="A30" s="3">
        <v>45625</v>
      </c>
      <c r="B30" s="4">
        <v>8</v>
      </c>
      <c r="C30" s="4">
        <v>17</v>
      </c>
      <c r="D30" s="4">
        <v>17.2</v>
      </c>
      <c r="E30" s="4">
        <v>19.5</v>
      </c>
      <c r="F30" s="4"/>
      <c r="G30" s="7">
        <f t="shared" si="0"/>
        <v>2.3000000000000007</v>
      </c>
      <c r="H30" s="8">
        <f t="shared" si="3"/>
        <v>2.5000000000000009</v>
      </c>
      <c r="I30" s="6" t="str">
        <f t="shared" si="1"/>
        <v/>
      </c>
      <c r="J30" s="6" t="str">
        <f t="shared" si="4"/>
        <v/>
      </c>
    </row>
    <row r="31" spans="1:10" ht="30" customHeight="1" x14ac:dyDescent="0.2">
      <c r="A31" s="5">
        <v>45626</v>
      </c>
      <c r="B31" s="4"/>
      <c r="C31" s="4"/>
      <c r="D31" s="4"/>
      <c r="E31" s="4"/>
      <c r="F31" s="4"/>
      <c r="G31" s="7">
        <f>E31-D31</f>
        <v>0</v>
      </c>
      <c r="H31" s="8" t="str">
        <f t="shared" si="3"/>
        <v/>
      </c>
      <c r="I31" s="6" t="str">
        <f t="shared" si="1"/>
        <v/>
      </c>
      <c r="J31" s="6" t="str">
        <f t="shared" si="4"/>
        <v/>
      </c>
    </row>
    <row r="32" spans="1:10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1">
    <mergeCell ref="B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4BED-31FC-4629-A691-5915AB1EC014}">
  <dimension ref="A1:Q437"/>
  <sheetViews>
    <sheetView zoomScaleNormal="100" workbookViewId="0">
      <pane ySplit="1" topLeftCell="A17" activePane="bottomLeft" state="frozen"/>
      <selection pane="bottomLeft" activeCell="C28" sqref="C28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6384" width="9" style="1"/>
  </cols>
  <sheetData>
    <row r="1" spans="1:14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</row>
    <row r="2" spans="1:14" ht="30" customHeight="1" x14ac:dyDescent="0.2">
      <c r="A2" s="5">
        <v>45627</v>
      </c>
      <c r="B2" s="4"/>
      <c r="C2" s="6"/>
      <c r="D2" s="11" t="str">
        <f>IF(E2&gt;17,"17.20","")</f>
        <v/>
      </c>
      <c r="E2" s="6"/>
      <c r="F2" s="6"/>
      <c r="G2" s="7" t="e">
        <f t="shared" ref="G2:G30" si="0">E2-D2</f>
        <v>#VALUE!</v>
      </c>
      <c r="H2" s="8" t="str">
        <f>IF(D2&lt;&gt;"",IF(MOD(G2,1)&lt;&gt;0,G2+0.2,G2),"")</f>
        <v/>
      </c>
      <c r="I2" s="6" t="str">
        <f t="shared" ref="I2:I32" si="1">IF(F2&lt;&gt;"",(F2-B2)-1,"")</f>
        <v/>
      </c>
      <c r="J2" s="6" t="str">
        <f t="shared" ref="J2:J16" si="2">IF(I2&lt;&gt;"",IF(MOD(I2,1)&lt;&gt;0,I2-0.2,I2),"")</f>
        <v/>
      </c>
    </row>
    <row r="3" spans="1:14" ht="30" customHeight="1" x14ac:dyDescent="0.2">
      <c r="A3" s="3">
        <v>45628</v>
      </c>
      <c r="B3" s="4">
        <v>8</v>
      </c>
      <c r="C3" s="4">
        <v>17</v>
      </c>
      <c r="D3" s="11" t="str">
        <f t="shared" ref="D3:D32" si="3">IF(E3&gt;17,"17.20","")</f>
        <v/>
      </c>
      <c r="E3" s="4">
        <v>17</v>
      </c>
      <c r="F3" s="6"/>
      <c r="G3" s="7" t="e">
        <f t="shared" si="0"/>
        <v>#VALUE!</v>
      </c>
      <c r="H3" s="8" t="str">
        <f t="shared" ref="H3:H32" si="4">IF(D3&lt;&gt;"",IF(MOD(G3,1)&lt;&gt;0,G3+0.2,G3),"")</f>
        <v/>
      </c>
      <c r="I3" s="6" t="str">
        <f t="shared" si="1"/>
        <v/>
      </c>
      <c r="J3" s="6" t="str">
        <f t="shared" si="2"/>
        <v/>
      </c>
    </row>
    <row r="4" spans="1:14" ht="30" customHeight="1" x14ac:dyDescent="0.2">
      <c r="A4" s="3">
        <v>45629</v>
      </c>
      <c r="B4" s="4">
        <v>8</v>
      </c>
      <c r="C4" s="4">
        <v>17</v>
      </c>
      <c r="D4" s="11" t="str">
        <f t="shared" si="3"/>
        <v>17.20</v>
      </c>
      <c r="E4" s="4">
        <v>19.5</v>
      </c>
      <c r="F4" s="6"/>
      <c r="G4" s="7">
        <f t="shared" si="0"/>
        <v>2.3000000000000007</v>
      </c>
      <c r="H4" s="8">
        <f t="shared" si="4"/>
        <v>2.5000000000000009</v>
      </c>
      <c r="I4" s="6" t="str">
        <f t="shared" si="1"/>
        <v/>
      </c>
      <c r="J4" s="6" t="str">
        <f t="shared" si="2"/>
        <v/>
      </c>
    </row>
    <row r="5" spans="1:14" ht="30" customHeight="1" x14ac:dyDescent="0.2">
      <c r="A5" s="3">
        <v>45630</v>
      </c>
      <c r="B5" s="4">
        <v>8</v>
      </c>
      <c r="C5" s="4">
        <v>17</v>
      </c>
      <c r="D5" s="11" t="str">
        <f t="shared" si="3"/>
        <v>17.20</v>
      </c>
      <c r="E5" s="4">
        <v>19.5</v>
      </c>
      <c r="F5" s="6"/>
      <c r="G5" s="7">
        <f t="shared" si="0"/>
        <v>2.3000000000000007</v>
      </c>
      <c r="H5" s="8">
        <f t="shared" si="4"/>
        <v>2.5000000000000009</v>
      </c>
      <c r="I5" s="6" t="str">
        <f t="shared" si="1"/>
        <v/>
      </c>
      <c r="J5" s="6" t="str">
        <f t="shared" si="2"/>
        <v/>
      </c>
    </row>
    <row r="6" spans="1:14" ht="30" customHeight="1" x14ac:dyDescent="0.2">
      <c r="A6" s="5">
        <v>45631</v>
      </c>
      <c r="B6" s="4">
        <v>8.3000000000000007</v>
      </c>
      <c r="C6" s="4">
        <v>17</v>
      </c>
      <c r="D6" s="11" t="str">
        <f t="shared" si="3"/>
        <v/>
      </c>
      <c r="E6" s="6"/>
      <c r="F6" s="4">
        <v>17</v>
      </c>
      <c r="G6" s="7" t="e">
        <f t="shared" si="0"/>
        <v>#VALUE!</v>
      </c>
      <c r="H6" s="8" t="str">
        <f t="shared" si="4"/>
        <v/>
      </c>
      <c r="I6" s="6">
        <f t="shared" si="1"/>
        <v>7.6999999999999993</v>
      </c>
      <c r="J6" s="6">
        <f t="shared" si="2"/>
        <v>7.4999999999999991</v>
      </c>
    </row>
    <row r="7" spans="1:14" ht="30" customHeight="1" x14ac:dyDescent="0.2">
      <c r="A7" s="3">
        <v>45632</v>
      </c>
      <c r="B7" s="4">
        <v>8</v>
      </c>
      <c r="C7" s="4">
        <v>17</v>
      </c>
      <c r="D7" s="11" t="str">
        <f t="shared" si="3"/>
        <v>17.20</v>
      </c>
      <c r="E7" s="4">
        <v>19.5</v>
      </c>
      <c r="F7" s="6"/>
      <c r="G7" s="7">
        <f t="shared" si="0"/>
        <v>2.3000000000000007</v>
      </c>
      <c r="H7" s="8">
        <f t="shared" si="4"/>
        <v>2.5000000000000009</v>
      </c>
      <c r="I7" s="6" t="str">
        <f t="shared" si="1"/>
        <v/>
      </c>
      <c r="J7" s="6" t="str">
        <f t="shared" si="2"/>
        <v/>
      </c>
    </row>
    <row r="8" spans="1:14" ht="30" customHeight="1" x14ac:dyDescent="0.2">
      <c r="A8" s="5">
        <v>45633</v>
      </c>
      <c r="B8" s="4">
        <v>9</v>
      </c>
      <c r="C8" s="4">
        <v>17</v>
      </c>
      <c r="D8" s="11" t="str">
        <f t="shared" si="3"/>
        <v/>
      </c>
      <c r="E8" s="6"/>
      <c r="F8" s="4">
        <v>16</v>
      </c>
      <c r="G8" s="7" t="e">
        <f t="shared" si="0"/>
        <v>#VALUE!</v>
      </c>
      <c r="H8" s="8" t="str">
        <f t="shared" si="4"/>
        <v/>
      </c>
      <c r="I8" s="6">
        <f t="shared" si="1"/>
        <v>6</v>
      </c>
      <c r="J8" s="6">
        <f t="shared" si="2"/>
        <v>6</v>
      </c>
    </row>
    <row r="9" spans="1:14" ht="30" customHeight="1" x14ac:dyDescent="0.2">
      <c r="A9" s="5">
        <v>45634</v>
      </c>
      <c r="B9" s="4"/>
      <c r="C9" s="6"/>
      <c r="D9" s="11" t="str">
        <f t="shared" si="3"/>
        <v/>
      </c>
      <c r="E9" s="6"/>
      <c r="F9" s="6"/>
      <c r="G9" s="7" t="e">
        <f t="shared" si="0"/>
        <v>#VALUE!</v>
      </c>
      <c r="H9" s="8" t="str">
        <f t="shared" si="4"/>
        <v/>
      </c>
      <c r="I9" s="6" t="str">
        <f t="shared" si="1"/>
        <v/>
      </c>
      <c r="J9" s="6" t="str">
        <f t="shared" si="2"/>
        <v/>
      </c>
    </row>
    <row r="10" spans="1:14" ht="30" customHeight="1" x14ac:dyDescent="0.2">
      <c r="A10" s="3">
        <v>45635</v>
      </c>
      <c r="B10" s="4">
        <v>8</v>
      </c>
      <c r="C10" s="4">
        <v>17</v>
      </c>
      <c r="D10" s="12">
        <v>17.2</v>
      </c>
      <c r="E10" s="4">
        <v>18.2</v>
      </c>
      <c r="F10" s="13"/>
      <c r="G10" s="13">
        <f t="shared" si="0"/>
        <v>1</v>
      </c>
      <c r="H10" s="8">
        <f t="shared" si="4"/>
        <v>1</v>
      </c>
      <c r="I10" s="13" t="str">
        <f t="shared" si="1"/>
        <v/>
      </c>
      <c r="J10" s="13" t="str">
        <f t="shared" si="2"/>
        <v/>
      </c>
    </row>
    <row r="11" spans="1:14" ht="30" customHeight="1" x14ac:dyDescent="0.2">
      <c r="A11" s="3">
        <v>45636</v>
      </c>
      <c r="B11" s="4">
        <v>8</v>
      </c>
      <c r="C11" s="4">
        <v>17</v>
      </c>
      <c r="D11" s="12">
        <v>17.2</v>
      </c>
      <c r="E11" s="4">
        <v>19.5</v>
      </c>
      <c r="F11" s="4"/>
      <c r="G11" s="7">
        <f t="shared" si="0"/>
        <v>2.3000000000000007</v>
      </c>
      <c r="H11" s="8">
        <f t="shared" si="4"/>
        <v>2.5000000000000009</v>
      </c>
      <c r="I11" s="6" t="str">
        <f t="shared" si="1"/>
        <v/>
      </c>
      <c r="J11" s="6" t="str">
        <f t="shared" si="2"/>
        <v/>
      </c>
    </row>
    <row r="12" spans="1:14" ht="30" customHeight="1" x14ac:dyDescent="0.2">
      <c r="A12" s="3">
        <v>45637</v>
      </c>
      <c r="B12" s="4">
        <v>8</v>
      </c>
      <c r="C12" s="4">
        <v>17</v>
      </c>
      <c r="D12" s="12">
        <v>17.2</v>
      </c>
      <c r="E12" s="4">
        <v>19.5</v>
      </c>
      <c r="F12" s="4"/>
      <c r="G12" s="7">
        <f t="shared" si="0"/>
        <v>2.3000000000000007</v>
      </c>
      <c r="H12" s="8">
        <f t="shared" si="4"/>
        <v>2.5000000000000009</v>
      </c>
      <c r="I12" s="6" t="str">
        <f t="shared" si="1"/>
        <v/>
      </c>
      <c r="J12" s="6" t="str">
        <f t="shared" si="2"/>
        <v/>
      </c>
    </row>
    <row r="13" spans="1:14" ht="30" customHeight="1" x14ac:dyDescent="0.2">
      <c r="A13" s="3">
        <v>45638</v>
      </c>
      <c r="B13" s="4">
        <v>8</v>
      </c>
      <c r="C13" s="4">
        <v>17</v>
      </c>
      <c r="D13" s="12"/>
      <c r="E13" s="4">
        <v>17</v>
      </c>
      <c r="F13" s="4"/>
      <c r="G13" s="7">
        <f t="shared" si="0"/>
        <v>17</v>
      </c>
      <c r="H13" s="8" t="str">
        <f t="shared" si="4"/>
        <v/>
      </c>
      <c r="I13" s="6" t="str">
        <f t="shared" si="1"/>
        <v/>
      </c>
      <c r="J13" s="6" t="str">
        <f t="shared" si="2"/>
        <v/>
      </c>
    </row>
    <row r="14" spans="1:14" ht="30" customHeight="1" x14ac:dyDescent="0.2">
      <c r="A14" s="3">
        <v>45639</v>
      </c>
      <c r="B14" s="4">
        <v>8</v>
      </c>
      <c r="C14" s="4">
        <v>17</v>
      </c>
      <c r="D14" s="12">
        <v>17.2</v>
      </c>
      <c r="E14" s="4">
        <v>19.2</v>
      </c>
      <c r="F14" s="4"/>
      <c r="G14" s="7">
        <f t="shared" si="0"/>
        <v>2</v>
      </c>
      <c r="H14" s="8">
        <f t="shared" si="4"/>
        <v>2</v>
      </c>
      <c r="I14" s="6" t="str">
        <f t="shared" si="1"/>
        <v/>
      </c>
      <c r="J14" s="6" t="str">
        <f t="shared" si="2"/>
        <v/>
      </c>
    </row>
    <row r="15" spans="1:14" ht="30" customHeight="1" x14ac:dyDescent="0.2">
      <c r="A15" s="5">
        <v>45640</v>
      </c>
      <c r="B15" s="4">
        <v>9.3000000000000007</v>
      </c>
      <c r="C15" s="4">
        <v>17</v>
      </c>
      <c r="D15" s="11" t="str">
        <f t="shared" ref="D15" si="5">IF(E15&gt;17,"17.20","")</f>
        <v/>
      </c>
      <c r="E15" s="6"/>
      <c r="F15" s="4">
        <v>15</v>
      </c>
      <c r="G15" s="7" t="e">
        <f t="shared" si="0"/>
        <v>#VALUE!</v>
      </c>
      <c r="H15" s="8" t="str">
        <f t="shared" si="4"/>
        <v/>
      </c>
      <c r="I15" s="6">
        <f t="shared" si="1"/>
        <v>4.6999999999999993</v>
      </c>
      <c r="J15" s="6">
        <f t="shared" si="2"/>
        <v>4.4999999999999991</v>
      </c>
    </row>
    <row r="16" spans="1:14" ht="30" customHeight="1" x14ac:dyDescent="0.2">
      <c r="A16" s="5">
        <v>45641</v>
      </c>
      <c r="B16" s="4"/>
      <c r="C16" s="4"/>
      <c r="D16" s="12" t="str">
        <f t="shared" si="3"/>
        <v/>
      </c>
      <c r="E16" s="4"/>
      <c r="F16" s="4"/>
      <c r="G16" s="7" t="e">
        <f t="shared" si="0"/>
        <v>#VALUE!</v>
      </c>
      <c r="H16" s="8" t="str">
        <f t="shared" si="4"/>
        <v/>
      </c>
      <c r="I16" s="6" t="str">
        <f t="shared" si="1"/>
        <v/>
      </c>
      <c r="J16" s="6" t="str">
        <f t="shared" si="2"/>
        <v/>
      </c>
      <c r="L16" s="22" t="s">
        <v>11</v>
      </c>
      <c r="M16" s="23"/>
      <c r="N16" s="24"/>
    </row>
    <row r="17" spans="1:17" ht="30" customHeight="1" x14ac:dyDescent="0.2">
      <c r="A17" s="3">
        <v>45642</v>
      </c>
      <c r="B17" s="4">
        <v>8</v>
      </c>
      <c r="C17" s="4">
        <v>17</v>
      </c>
      <c r="D17" s="12" t="str">
        <f t="shared" si="3"/>
        <v>17.20</v>
      </c>
      <c r="E17" s="4">
        <v>19.5</v>
      </c>
      <c r="F17" s="4"/>
      <c r="G17" s="7">
        <f t="shared" si="0"/>
        <v>2.3000000000000007</v>
      </c>
      <c r="H17" s="8">
        <f t="shared" si="4"/>
        <v>2.5000000000000009</v>
      </c>
      <c r="I17" s="6" t="str">
        <f>IF(F17&lt;&gt;"",(F17-B17)-1,"")</f>
        <v/>
      </c>
      <c r="J17" s="6" t="str">
        <f>IF(I17&lt;&gt;"",IF(MOD(I17,1)&lt;&gt;0,I17-0.2,I17),"")</f>
        <v/>
      </c>
      <c r="L17" s="20" t="s">
        <v>8</v>
      </c>
      <c r="M17" s="2" t="s">
        <v>9</v>
      </c>
      <c r="N17" s="2" t="s">
        <v>10</v>
      </c>
    </row>
    <row r="18" spans="1:17" ht="30" customHeight="1" x14ac:dyDescent="0.2">
      <c r="A18" s="3">
        <v>45643</v>
      </c>
      <c r="B18" s="4">
        <v>8</v>
      </c>
      <c r="C18" s="4">
        <v>17</v>
      </c>
      <c r="D18" s="12" t="str">
        <f t="shared" si="3"/>
        <v>17.20</v>
      </c>
      <c r="E18" s="4">
        <v>19.5</v>
      </c>
      <c r="F18" s="4"/>
      <c r="G18" s="7">
        <f t="shared" si="0"/>
        <v>2.3000000000000007</v>
      </c>
      <c r="H18" s="8">
        <f t="shared" si="4"/>
        <v>2.5000000000000009</v>
      </c>
      <c r="I18" s="6" t="str">
        <f t="shared" si="1"/>
        <v/>
      </c>
      <c r="J18" s="6" t="str">
        <f t="shared" ref="J18:J32" si="6">IF(I18&lt;&gt;"",IF(MOD(I18,1)&lt;&gt;0,I18-0.2,I18),"")</f>
        <v/>
      </c>
      <c r="L18" s="21"/>
      <c r="M18" s="8">
        <f>SUM('Nov. 24'!H17:H31)+SUM('Dec. 24 '!H2:H16)</f>
        <v>34.52000000000001</v>
      </c>
      <c r="N18" s="6">
        <f>SUM('Nov. 24'!J17:J31)+SUM('Dec. 24 '!J2:J16)</f>
        <v>32.5</v>
      </c>
      <c r="Q18" s="9"/>
    </row>
    <row r="19" spans="1:17" ht="30" customHeight="1" x14ac:dyDescent="0.2">
      <c r="A19" s="3">
        <v>45644</v>
      </c>
      <c r="B19" s="4">
        <v>8</v>
      </c>
      <c r="C19" s="4">
        <v>17</v>
      </c>
      <c r="D19" s="12" t="str">
        <f t="shared" si="3"/>
        <v>17.20</v>
      </c>
      <c r="E19" s="4">
        <v>19.5</v>
      </c>
      <c r="F19" s="4"/>
      <c r="G19" s="7">
        <f t="shared" si="0"/>
        <v>2.3000000000000007</v>
      </c>
      <c r="H19" s="8">
        <f t="shared" si="4"/>
        <v>2.5000000000000009</v>
      </c>
      <c r="I19" s="6" t="str">
        <f t="shared" si="1"/>
        <v/>
      </c>
      <c r="J19" s="6" t="str">
        <f t="shared" si="6"/>
        <v/>
      </c>
      <c r="M19" s="14"/>
      <c r="N19" s="14"/>
      <c r="O19" s="14"/>
    </row>
    <row r="20" spans="1:17" ht="30" customHeight="1" x14ac:dyDescent="0.2">
      <c r="A20" s="3">
        <v>45645</v>
      </c>
      <c r="B20" s="4">
        <v>8</v>
      </c>
      <c r="C20" s="4">
        <v>17</v>
      </c>
      <c r="D20" s="12" t="str">
        <f t="shared" si="3"/>
        <v/>
      </c>
      <c r="E20" s="4"/>
      <c r="F20" s="4"/>
      <c r="G20" s="7" t="e">
        <f t="shared" si="0"/>
        <v>#VALUE!</v>
      </c>
      <c r="H20" s="8" t="str">
        <f t="shared" si="4"/>
        <v/>
      </c>
      <c r="I20" s="6" t="str">
        <f t="shared" si="1"/>
        <v/>
      </c>
      <c r="J20" s="6" t="str">
        <f t="shared" si="6"/>
        <v/>
      </c>
    </row>
    <row r="21" spans="1:17" ht="30" customHeight="1" x14ac:dyDescent="0.2">
      <c r="A21" s="3">
        <v>45646</v>
      </c>
      <c r="B21" s="4">
        <v>8</v>
      </c>
      <c r="C21" s="4">
        <v>17</v>
      </c>
      <c r="D21" s="12" t="str">
        <f t="shared" si="3"/>
        <v>17.20</v>
      </c>
      <c r="E21" s="4">
        <v>19.2</v>
      </c>
      <c r="F21" s="4"/>
      <c r="G21" s="7">
        <f t="shared" si="0"/>
        <v>2</v>
      </c>
      <c r="H21" s="8">
        <f t="shared" si="4"/>
        <v>2</v>
      </c>
      <c r="I21" s="6" t="str">
        <f t="shared" si="1"/>
        <v/>
      </c>
      <c r="J21" s="6" t="str">
        <f t="shared" si="6"/>
        <v/>
      </c>
    </row>
    <row r="22" spans="1:17" ht="30" customHeight="1" x14ac:dyDescent="0.2">
      <c r="A22" s="5">
        <v>45647</v>
      </c>
      <c r="B22" s="4"/>
      <c r="C22" s="4"/>
      <c r="D22" s="12" t="str">
        <f t="shared" si="3"/>
        <v/>
      </c>
      <c r="E22" s="4"/>
      <c r="F22" s="4"/>
      <c r="G22" s="7" t="e">
        <f t="shared" si="0"/>
        <v>#VALUE!</v>
      </c>
      <c r="H22" s="8" t="str">
        <f t="shared" si="4"/>
        <v/>
      </c>
      <c r="I22" s="6" t="str">
        <f t="shared" si="1"/>
        <v/>
      </c>
      <c r="J22" s="6" t="str">
        <f t="shared" si="6"/>
        <v/>
      </c>
    </row>
    <row r="23" spans="1:17" ht="30" customHeight="1" x14ac:dyDescent="0.2">
      <c r="A23" s="5">
        <v>45648</v>
      </c>
      <c r="B23" s="4"/>
      <c r="C23" s="4"/>
      <c r="D23" s="12" t="str">
        <f t="shared" si="3"/>
        <v/>
      </c>
      <c r="E23" s="4"/>
      <c r="F23" s="4"/>
      <c r="G23" s="7" t="e">
        <f t="shared" si="0"/>
        <v>#VALUE!</v>
      </c>
      <c r="H23" s="8" t="str">
        <f t="shared" si="4"/>
        <v/>
      </c>
      <c r="I23" s="6" t="str">
        <f t="shared" si="1"/>
        <v/>
      </c>
      <c r="J23" s="6" t="str">
        <f t="shared" si="6"/>
        <v/>
      </c>
    </row>
    <row r="24" spans="1:17" ht="30" customHeight="1" x14ac:dyDescent="0.2">
      <c r="A24" s="3">
        <v>45649</v>
      </c>
      <c r="B24" s="4">
        <v>8</v>
      </c>
      <c r="C24" s="4">
        <v>17</v>
      </c>
      <c r="D24" s="12" t="str">
        <f t="shared" si="3"/>
        <v>17.20</v>
      </c>
      <c r="E24" s="4">
        <v>19.5</v>
      </c>
      <c r="F24" s="4"/>
      <c r="G24" s="7">
        <f t="shared" si="0"/>
        <v>2.3000000000000007</v>
      </c>
      <c r="H24" s="8">
        <f t="shared" si="4"/>
        <v>2.5000000000000009</v>
      </c>
      <c r="I24" s="6" t="str">
        <f t="shared" si="1"/>
        <v/>
      </c>
      <c r="J24" s="6" t="str">
        <f t="shared" si="6"/>
        <v/>
      </c>
    </row>
    <row r="25" spans="1:17" ht="30" customHeight="1" x14ac:dyDescent="0.2">
      <c r="A25" s="3">
        <v>45650</v>
      </c>
      <c r="B25" s="4">
        <v>8</v>
      </c>
      <c r="C25" s="4">
        <v>17</v>
      </c>
      <c r="D25" s="12" t="str">
        <f t="shared" si="3"/>
        <v/>
      </c>
      <c r="E25" s="4"/>
      <c r="F25" s="4"/>
      <c r="G25" s="7" t="e">
        <f t="shared" si="0"/>
        <v>#VALUE!</v>
      </c>
      <c r="H25" s="8" t="str">
        <f t="shared" si="4"/>
        <v/>
      </c>
      <c r="I25" s="6" t="str">
        <f t="shared" si="1"/>
        <v/>
      </c>
      <c r="J25" s="6" t="str">
        <f t="shared" si="6"/>
        <v/>
      </c>
    </row>
    <row r="26" spans="1:17" ht="30" customHeight="1" x14ac:dyDescent="0.2">
      <c r="A26" s="3">
        <v>45651</v>
      </c>
      <c r="B26" s="4">
        <v>8</v>
      </c>
      <c r="C26" s="4">
        <v>17</v>
      </c>
      <c r="D26" s="12" t="str">
        <f t="shared" si="3"/>
        <v/>
      </c>
      <c r="E26" s="4"/>
      <c r="F26" s="4"/>
      <c r="G26" s="7" t="e">
        <f t="shared" si="0"/>
        <v>#VALUE!</v>
      </c>
      <c r="H26" s="8" t="str">
        <f t="shared" si="4"/>
        <v/>
      </c>
      <c r="I26" s="6" t="str">
        <f t="shared" si="1"/>
        <v/>
      </c>
      <c r="J26" s="6" t="str">
        <f t="shared" si="6"/>
        <v/>
      </c>
    </row>
    <row r="27" spans="1:17" ht="30" customHeight="1" x14ac:dyDescent="0.2">
      <c r="A27" s="3">
        <v>45652</v>
      </c>
      <c r="B27" s="4">
        <v>8</v>
      </c>
      <c r="C27" s="4">
        <v>17</v>
      </c>
      <c r="D27" s="12" t="str">
        <f t="shared" si="3"/>
        <v/>
      </c>
      <c r="E27" s="4"/>
      <c r="F27" s="4"/>
      <c r="G27" s="7" t="e">
        <f t="shared" si="0"/>
        <v>#VALUE!</v>
      </c>
      <c r="H27" s="8" t="str">
        <f t="shared" si="4"/>
        <v/>
      </c>
      <c r="I27" s="6" t="str">
        <f t="shared" si="1"/>
        <v/>
      </c>
      <c r="J27" s="6" t="str">
        <f t="shared" si="6"/>
        <v/>
      </c>
    </row>
    <row r="28" spans="1:17" ht="30" customHeight="1" x14ac:dyDescent="0.2">
      <c r="A28" s="15">
        <v>45653</v>
      </c>
      <c r="B28" s="4"/>
      <c r="C28" s="4"/>
      <c r="D28" s="12" t="str">
        <f t="shared" si="3"/>
        <v/>
      </c>
      <c r="E28" s="4"/>
      <c r="F28" s="4"/>
      <c r="G28" s="7" t="e">
        <f t="shared" si="0"/>
        <v>#VALUE!</v>
      </c>
      <c r="H28" s="8" t="str">
        <f t="shared" si="4"/>
        <v/>
      </c>
      <c r="I28" s="6" t="str">
        <f t="shared" si="1"/>
        <v/>
      </c>
      <c r="J28" s="6" t="str">
        <f t="shared" si="6"/>
        <v/>
      </c>
    </row>
    <row r="29" spans="1:17" ht="30" customHeight="1" x14ac:dyDescent="0.2">
      <c r="A29" s="5">
        <v>45654</v>
      </c>
      <c r="B29" s="4">
        <v>9.3000000000000007</v>
      </c>
      <c r="C29" s="4">
        <v>17</v>
      </c>
      <c r="D29" s="12" t="str">
        <f t="shared" si="3"/>
        <v/>
      </c>
      <c r="E29" s="4"/>
      <c r="F29" s="4">
        <v>16</v>
      </c>
      <c r="G29" s="7" t="e">
        <f t="shared" si="0"/>
        <v>#VALUE!</v>
      </c>
      <c r="H29" s="8" t="str">
        <f t="shared" si="4"/>
        <v/>
      </c>
      <c r="I29" s="6">
        <f t="shared" si="1"/>
        <v>5.6999999999999993</v>
      </c>
      <c r="J29" s="6">
        <f t="shared" si="6"/>
        <v>5.4999999999999991</v>
      </c>
    </row>
    <row r="30" spans="1:17" ht="30" customHeight="1" x14ac:dyDescent="0.2">
      <c r="A30" s="5">
        <v>45655</v>
      </c>
      <c r="B30" s="4">
        <v>10.3</v>
      </c>
      <c r="C30" s="4">
        <v>17</v>
      </c>
      <c r="D30" s="12" t="str">
        <f t="shared" si="3"/>
        <v/>
      </c>
      <c r="E30" s="4"/>
      <c r="F30" s="4">
        <v>14</v>
      </c>
      <c r="G30" s="7" t="e">
        <f t="shared" si="0"/>
        <v>#VALUE!</v>
      </c>
      <c r="H30" s="8" t="str">
        <f t="shared" si="4"/>
        <v/>
      </c>
      <c r="I30" s="6">
        <f t="shared" si="1"/>
        <v>2.6999999999999993</v>
      </c>
      <c r="J30" s="6">
        <f t="shared" si="6"/>
        <v>2.4999999999999991</v>
      </c>
    </row>
    <row r="31" spans="1:17" ht="30" customHeight="1" x14ac:dyDescent="0.2">
      <c r="A31" s="5">
        <v>45656</v>
      </c>
      <c r="B31" s="4"/>
      <c r="C31" s="4"/>
      <c r="D31" s="12" t="str">
        <f t="shared" si="3"/>
        <v/>
      </c>
      <c r="E31" s="4"/>
      <c r="F31" s="4"/>
      <c r="G31" s="7" t="e">
        <f>E31-D31</f>
        <v>#VALUE!</v>
      </c>
      <c r="H31" s="8" t="str">
        <f t="shared" si="4"/>
        <v/>
      </c>
      <c r="I31" s="6" t="str">
        <f t="shared" si="1"/>
        <v/>
      </c>
      <c r="J31" s="6" t="str">
        <f t="shared" si="6"/>
        <v/>
      </c>
    </row>
    <row r="32" spans="1:17" ht="30" customHeight="1" x14ac:dyDescent="0.2">
      <c r="A32" s="5">
        <v>45657</v>
      </c>
      <c r="B32" s="4"/>
      <c r="C32" s="4"/>
      <c r="D32" s="12" t="str">
        <f t="shared" si="3"/>
        <v/>
      </c>
      <c r="E32" s="4"/>
      <c r="F32" s="4"/>
      <c r="G32" s="7" t="e">
        <f>E32-D32</f>
        <v>#VALUE!</v>
      </c>
      <c r="H32" s="8" t="str">
        <f t="shared" si="4"/>
        <v/>
      </c>
      <c r="I32" s="6" t="str">
        <f t="shared" si="1"/>
        <v/>
      </c>
      <c r="J32" s="6" t="str">
        <f t="shared" si="6"/>
        <v/>
      </c>
    </row>
    <row r="33" spans="1:3" ht="30" customHeight="1" x14ac:dyDescent="0.2"/>
    <row r="34" spans="1:3" ht="30" customHeight="1" x14ac:dyDescent="0.2">
      <c r="A34" s="14">
        <f>M18*173.07</f>
        <v>5974.3764000000019</v>
      </c>
      <c r="B34" s="14">
        <f>N18*115.38</f>
        <v>3749.85</v>
      </c>
      <c r="C34" s="14">
        <f>A34+B34</f>
        <v>9724.2264000000014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7:L18"/>
    <mergeCell ref="L16:N1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68B9-8803-4923-A838-08586DEA5904}">
  <dimension ref="A1:Q437"/>
  <sheetViews>
    <sheetView zoomScaleNormal="100" workbookViewId="0">
      <pane ySplit="1" topLeftCell="A16" activePane="bottomLeft" state="frozen"/>
      <selection pane="bottomLeft" activeCell="B19" sqref="B19:C19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6384" width="9" style="1"/>
  </cols>
  <sheetData>
    <row r="1" spans="1:14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</row>
    <row r="2" spans="1:14" ht="30" customHeight="1" x14ac:dyDescent="0.2">
      <c r="A2" s="17">
        <v>45658</v>
      </c>
      <c r="B2" s="4"/>
      <c r="C2" s="6"/>
      <c r="D2" s="11" t="str">
        <f>IF(E2&gt;17,"17.20","")</f>
        <v/>
      </c>
      <c r="E2" s="6"/>
      <c r="F2" s="6"/>
      <c r="G2" s="7" t="e">
        <f t="shared" ref="G2:G30" si="0">E2-D2</f>
        <v>#VALUE!</v>
      </c>
      <c r="H2" s="8" t="str">
        <f>IF(D2&lt;&gt;"",IF(MOD(G2,1)&lt;&gt;0,G2+0.2,G2),"")</f>
        <v/>
      </c>
      <c r="I2" s="6" t="str">
        <f t="shared" ref="I2:I32" si="1">IF(F2&lt;&gt;"",(F2-B2)-1,"")</f>
        <v/>
      </c>
      <c r="J2" s="6" t="str">
        <f t="shared" ref="J2:J16" si="2">IF(I2&lt;&gt;"",IF(MOD(I2,1)&lt;&gt;0,I2-0.2,I2),"")</f>
        <v/>
      </c>
    </row>
    <row r="3" spans="1:14" ht="30" customHeight="1" x14ac:dyDescent="0.2">
      <c r="A3" s="17">
        <v>45659</v>
      </c>
      <c r="B3" s="4"/>
      <c r="C3" s="4"/>
      <c r="D3" s="11" t="str">
        <f t="shared" ref="D3:D32" si="3">IF(E3&gt;17,"17.20","")</f>
        <v/>
      </c>
      <c r="E3" s="4"/>
      <c r="F3" s="6"/>
      <c r="G3" s="7" t="e">
        <f t="shared" si="0"/>
        <v>#VALUE!</v>
      </c>
      <c r="H3" s="8" t="str">
        <f t="shared" ref="H3:H32" si="4">IF(D3&lt;&gt;"",IF(MOD(G3,1)&lt;&gt;0,G3+0.2,G3),"")</f>
        <v/>
      </c>
      <c r="I3" s="6" t="str">
        <f t="shared" si="1"/>
        <v/>
      </c>
      <c r="J3" s="6" t="str">
        <f t="shared" si="2"/>
        <v/>
      </c>
    </row>
    <row r="4" spans="1:14" ht="30" customHeight="1" x14ac:dyDescent="0.2">
      <c r="A4" s="17">
        <v>45660</v>
      </c>
      <c r="B4" s="4">
        <v>8</v>
      </c>
      <c r="C4" s="4">
        <v>17</v>
      </c>
      <c r="D4" s="11"/>
      <c r="E4" s="4"/>
      <c r="F4" s="6"/>
      <c r="G4" s="7">
        <f t="shared" si="0"/>
        <v>0</v>
      </c>
      <c r="H4" s="8" t="str">
        <f t="shared" si="4"/>
        <v/>
      </c>
      <c r="I4" s="6" t="str">
        <f t="shared" si="1"/>
        <v/>
      </c>
      <c r="J4" s="6" t="str">
        <f t="shared" si="2"/>
        <v/>
      </c>
    </row>
    <row r="5" spans="1:14" ht="30" customHeight="1" x14ac:dyDescent="0.2">
      <c r="A5" s="16">
        <v>45661</v>
      </c>
      <c r="B5" s="4">
        <v>9.3000000000000007</v>
      </c>
      <c r="C5" s="4">
        <v>17</v>
      </c>
      <c r="D5" s="11" t="str">
        <f t="shared" si="3"/>
        <v/>
      </c>
      <c r="E5" s="4"/>
      <c r="F5" s="6">
        <v>15</v>
      </c>
      <c r="G5" s="7" t="e">
        <f t="shared" si="0"/>
        <v>#VALUE!</v>
      </c>
      <c r="H5" s="8" t="str">
        <f t="shared" si="4"/>
        <v/>
      </c>
      <c r="I5" s="6">
        <f t="shared" si="1"/>
        <v>4.6999999999999993</v>
      </c>
      <c r="J5" s="6">
        <f t="shared" si="2"/>
        <v>4.4999999999999991</v>
      </c>
    </row>
    <row r="6" spans="1:14" ht="30" customHeight="1" x14ac:dyDescent="0.2">
      <c r="A6" s="16">
        <v>45662</v>
      </c>
      <c r="B6" s="4"/>
      <c r="C6" s="4"/>
      <c r="D6" s="11" t="str">
        <f t="shared" si="3"/>
        <v/>
      </c>
      <c r="E6" s="6"/>
      <c r="F6" s="4"/>
      <c r="G6" s="7" t="e">
        <f t="shared" si="0"/>
        <v>#VALUE!</v>
      </c>
      <c r="H6" s="8" t="str">
        <f t="shared" si="4"/>
        <v/>
      </c>
      <c r="I6" s="6" t="str">
        <f t="shared" si="1"/>
        <v/>
      </c>
      <c r="J6" s="6" t="str">
        <f t="shared" si="2"/>
        <v/>
      </c>
    </row>
    <row r="7" spans="1:14" ht="30" customHeight="1" x14ac:dyDescent="0.2">
      <c r="A7" s="17">
        <v>45663</v>
      </c>
      <c r="B7" s="4">
        <v>8</v>
      </c>
      <c r="C7" s="4">
        <v>17</v>
      </c>
      <c r="D7" s="11" t="str">
        <f t="shared" si="3"/>
        <v>17.20</v>
      </c>
      <c r="E7" s="4">
        <v>19.5</v>
      </c>
      <c r="F7" s="6"/>
      <c r="G7" s="7">
        <f t="shared" si="0"/>
        <v>2.3000000000000007</v>
      </c>
      <c r="H7" s="8">
        <f t="shared" si="4"/>
        <v>2.5000000000000009</v>
      </c>
      <c r="I7" s="6" t="str">
        <f t="shared" si="1"/>
        <v/>
      </c>
      <c r="J7" s="6" t="str">
        <f t="shared" si="2"/>
        <v/>
      </c>
    </row>
    <row r="8" spans="1:14" ht="30" customHeight="1" x14ac:dyDescent="0.2">
      <c r="A8" s="17">
        <v>45664</v>
      </c>
      <c r="B8" s="4">
        <v>8</v>
      </c>
      <c r="C8" s="4">
        <v>17</v>
      </c>
      <c r="D8" s="11" t="str">
        <f t="shared" si="3"/>
        <v/>
      </c>
      <c r="E8" s="6"/>
      <c r="F8" s="4"/>
      <c r="G8" s="7" t="e">
        <f t="shared" si="0"/>
        <v>#VALUE!</v>
      </c>
      <c r="H8" s="8" t="str">
        <f t="shared" si="4"/>
        <v/>
      </c>
      <c r="I8" s="6" t="str">
        <f t="shared" si="1"/>
        <v/>
      </c>
      <c r="J8" s="6" t="str">
        <f t="shared" si="2"/>
        <v/>
      </c>
    </row>
    <row r="9" spans="1:14" ht="30" customHeight="1" x14ac:dyDescent="0.2">
      <c r="A9" s="17">
        <v>45665</v>
      </c>
      <c r="B9" s="4">
        <v>8</v>
      </c>
      <c r="C9" s="4">
        <v>17</v>
      </c>
      <c r="D9" s="11" t="str">
        <f t="shared" si="3"/>
        <v>17.20</v>
      </c>
      <c r="E9" s="6">
        <v>20.2</v>
      </c>
      <c r="F9" s="6"/>
      <c r="G9" s="7">
        <f t="shared" si="0"/>
        <v>3</v>
      </c>
      <c r="H9" s="8">
        <f t="shared" si="4"/>
        <v>3</v>
      </c>
      <c r="I9" s="6" t="str">
        <f t="shared" si="1"/>
        <v/>
      </c>
      <c r="J9" s="6" t="str">
        <f t="shared" si="2"/>
        <v/>
      </c>
    </row>
    <row r="10" spans="1:14" ht="30" customHeight="1" x14ac:dyDescent="0.2">
      <c r="A10" s="17">
        <v>45666</v>
      </c>
      <c r="B10" s="4">
        <v>8</v>
      </c>
      <c r="C10" s="4">
        <v>17</v>
      </c>
      <c r="D10" s="11" t="str">
        <f t="shared" si="3"/>
        <v>17.20</v>
      </c>
      <c r="E10" s="4">
        <v>19.5</v>
      </c>
      <c r="F10" s="13"/>
      <c r="G10" s="13">
        <f t="shared" si="0"/>
        <v>2.3000000000000007</v>
      </c>
      <c r="H10" s="8">
        <f t="shared" si="4"/>
        <v>2.5000000000000009</v>
      </c>
      <c r="I10" s="13" t="str">
        <f t="shared" si="1"/>
        <v/>
      </c>
      <c r="J10" s="13" t="str">
        <f t="shared" si="2"/>
        <v/>
      </c>
    </row>
    <row r="11" spans="1:14" ht="30" customHeight="1" x14ac:dyDescent="0.2">
      <c r="A11" s="17">
        <v>45667</v>
      </c>
      <c r="B11" s="4">
        <v>8</v>
      </c>
      <c r="C11" s="4">
        <v>17</v>
      </c>
      <c r="D11" s="11" t="str">
        <f t="shared" si="3"/>
        <v>17.20</v>
      </c>
      <c r="E11" s="4">
        <v>19.2</v>
      </c>
      <c r="F11" s="4"/>
      <c r="G11" s="7">
        <f t="shared" si="0"/>
        <v>2</v>
      </c>
      <c r="H11" s="8">
        <f t="shared" si="4"/>
        <v>2</v>
      </c>
      <c r="I11" s="6" t="str">
        <f t="shared" si="1"/>
        <v/>
      </c>
      <c r="J11" s="6" t="str">
        <f t="shared" si="2"/>
        <v/>
      </c>
    </row>
    <row r="12" spans="1:14" ht="30" customHeight="1" x14ac:dyDescent="0.2">
      <c r="A12" s="16">
        <v>45668</v>
      </c>
      <c r="B12" s="4"/>
      <c r="C12" s="4"/>
      <c r="D12" s="12"/>
      <c r="E12" s="4"/>
      <c r="F12" s="4"/>
      <c r="G12" s="7">
        <f t="shared" si="0"/>
        <v>0</v>
      </c>
      <c r="H12" s="8" t="str">
        <f t="shared" si="4"/>
        <v/>
      </c>
      <c r="I12" s="6" t="str">
        <f t="shared" si="1"/>
        <v/>
      </c>
      <c r="J12" s="6" t="str">
        <f t="shared" si="2"/>
        <v/>
      </c>
    </row>
    <row r="13" spans="1:14" ht="30" customHeight="1" x14ac:dyDescent="0.2">
      <c r="A13" s="16">
        <v>45669</v>
      </c>
      <c r="B13" s="4"/>
      <c r="C13" s="4"/>
      <c r="D13" s="12"/>
      <c r="E13" s="4"/>
      <c r="F13" s="4"/>
      <c r="G13" s="7">
        <f t="shared" si="0"/>
        <v>0</v>
      </c>
      <c r="H13" s="8" t="str">
        <f t="shared" si="4"/>
        <v/>
      </c>
      <c r="I13" s="6" t="str">
        <f t="shared" si="1"/>
        <v/>
      </c>
      <c r="J13" s="6" t="str">
        <f t="shared" si="2"/>
        <v/>
      </c>
    </row>
    <row r="14" spans="1:14" ht="30" customHeight="1" x14ac:dyDescent="0.2">
      <c r="A14" s="17">
        <v>45670</v>
      </c>
      <c r="B14" s="4">
        <v>8</v>
      </c>
      <c r="C14" s="4">
        <v>17</v>
      </c>
      <c r="D14" s="11" t="str">
        <f t="shared" ref="D14:D15" si="5">IF(E14&gt;17,"17.20","")</f>
        <v>17.20</v>
      </c>
      <c r="E14" s="4">
        <v>19.5</v>
      </c>
      <c r="F14" s="4"/>
      <c r="G14" s="7">
        <f t="shared" si="0"/>
        <v>2.3000000000000007</v>
      </c>
      <c r="H14" s="8">
        <f t="shared" si="4"/>
        <v>2.5000000000000009</v>
      </c>
      <c r="I14" s="6" t="str">
        <f t="shared" si="1"/>
        <v/>
      </c>
      <c r="J14" s="6" t="str">
        <f t="shared" si="2"/>
        <v/>
      </c>
    </row>
    <row r="15" spans="1:14" ht="30" customHeight="1" x14ac:dyDescent="0.2">
      <c r="A15" s="17">
        <v>45671</v>
      </c>
      <c r="B15" s="4">
        <v>9.3000000000000007</v>
      </c>
      <c r="C15" s="4">
        <v>17</v>
      </c>
      <c r="D15" s="11" t="str">
        <f t="shared" si="5"/>
        <v>17.20</v>
      </c>
      <c r="E15" s="6">
        <v>20.2</v>
      </c>
      <c r="F15" s="4"/>
      <c r="G15" s="7">
        <f t="shared" si="0"/>
        <v>3</v>
      </c>
      <c r="H15" s="8">
        <f t="shared" si="4"/>
        <v>3</v>
      </c>
      <c r="I15" s="6" t="str">
        <f t="shared" si="1"/>
        <v/>
      </c>
      <c r="J15" s="6" t="str">
        <f t="shared" si="2"/>
        <v/>
      </c>
    </row>
    <row r="16" spans="1:14" ht="30" customHeight="1" x14ac:dyDescent="0.2">
      <c r="A16" s="17">
        <v>45672</v>
      </c>
      <c r="B16" s="4">
        <v>8</v>
      </c>
      <c r="C16" s="4">
        <v>17</v>
      </c>
      <c r="D16" s="12" t="str">
        <f t="shared" si="3"/>
        <v>17.20</v>
      </c>
      <c r="E16" s="4">
        <v>19.5</v>
      </c>
      <c r="F16" s="4"/>
      <c r="G16" s="7">
        <f t="shared" si="0"/>
        <v>2.3000000000000007</v>
      </c>
      <c r="H16" s="8">
        <f t="shared" si="4"/>
        <v>2.5000000000000009</v>
      </c>
      <c r="I16" s="6" t="str">
        <f t="shared" si="1"/>
        <v/>
      </c>
      <c r="J16" s="6" t="str">
        <f t="shared" si="2"/>
        <v/>
      </c>
      <c r="L16" s="22" t="s">
        <v>11</v>
      </c>
      <c r="M16" s="23"/>
      <c r="N16" s="24"/>
    </row>
    <row r="17" spans="1:17" ht="30" customHeight="1" x14ac:dyDescent="0.2">
      <c r="A17" s="17">
        <v>45673</v>
      </c>
      <c r="B17" s="4">
        <v>8</v>
      </c>
      <c r="C17" s="4">
        <v>17</v>
      </c>
      <c r="D17" s="12" t="str">
        <f t="shared" si="3"/>
        <v/>
      </c>
      <c r="E17" s="4"/>
      <c r="F17" s="4"/>
      <c r="G17" s="7" t="e">
        <f t="shared" si="0"/>
        <v>#VALUE!</v>
      </c>
      <c r="H17" s="8" t="str">
        <f t="shared" si="4"/>
        <v/>
      </c>
      <c r="I17" s="6" t="str">
        <f>IF(F17&lt;&gt;"",(F17-B17)-1,"")</f>
        <v/>
      </c>
      <c r="J17" s="6" t="str">
        <f>IF(I17&lt;&gt;"",IF(MOD(I17,1)&lt;&gt;0,I17-0.2,I17),"")</f>
        <v/>
      </c>
      <c r="L17" s="20" t="s">
        <v>8</v>
      </c>
      <c r="M17" s="2" t="s">
        <v>9</v>
      </c>
      <c r="N17" s="2" t="s">
        <v>10</v>
      </c>
    </row>
    <row r="18" spans="1:17" ht="30" customHeight="1" x14ac:dyDescent="0.2">
      <c r="A18" s="17">
        <v>45674</v>
      </c>
      <c r="B18" s="4">
        <v>8</v>
      </c>
      <c r="C18" s="4">
        <v>17</v>
      </c>
      <c r="D18" s="12" t="str">
        <f t="shared" si="3"/>
        <v>17.20</v>
      </c>
      <c r="E18" s="4">
        <v>19.2</v>
      </c>
      <c r="F18" s="4"/>
      <c r="G18" s="7">
        <f t="shared" si="0"/>
        <v>2</v>
      </c>
      <c r="H18" s="8">
        <f t="shared" si="4"/>
        <v>2</v>
      </c>
      <c r="I18" s="6" t="str">
        <f t="shared" si="1"/>
        <v/>
      </c>
      <c r="J18" s="6" t="str">
        <f t="shared" ref="J18:J32" si="6">IF(I18&lt;&gt;"",IF(MOD(I18,1)&lt;&gt;0,I18-0.2,I18),"")</f>
        <v/>
      </c>
      <c r="L18" s="21"/>
      <c r="M18" s="8">
        <f>SUM('Dec. 24 '!H17:H32)+SUM(H2:H16)</f>
        <v>30.000000000000007</v>
      </c>
      <c r="N18" s="6">
        <f>SUM('Dec. 24 '!J17:J32)+SUM(Jan.25!J2:J16)</f>
        <v>12.499999999999996</v>
      </c>
      <c r="Q18" s="9"/>
    </row>
    <row r="19" spans="1:17" ht="30" customHeight="1" x14ac:dyDescent="0.2">
      <c r="A19" s="16">
        <v>45675</v>
      </c>
      <c r="B19" s="4">
        <v>9.3000000000000007</v>
      </c>
      <c r="C19" s="4">
        <v>17</v>
      </c>
      <c r="D19" s="12" t="str">
        <f t="shared" si="3"/>
        <v/>
      </c>
      <c r="E19" s="4"/>
      <c r="F19" s="4">
        <v>17</v>
      </c>
      <c r="G19" s="7" t="e">
        <f t="shared" si="0"/>
        <v>#VALUE!</v>
      </c>
      <c r="H19" s="8" t="str">
        <f t="shared" si="4"/>
        <v/>
      </c>
      <c r="I19" s="6">
        <f t="shared" si="1"/>
        <v>6.6999999999999993</v>
      </c>
      <c r="J19" s="6">
        <f t="shared" si="6"/>
        <v>6.4999999999999991</v>
      </c>
      <c r="M19" s="14"/>
      <c r="N19" s="14"/>
      <c r="O19" s="14"/>
    </row>
    <row r="20" spans="1:17" ht="30" customHeight="1" x14ac:dyDescent="0.2">
      <c r="A20" s="16">
        <v>45676</v>
      </c>
      <c r="B20" s="4"/>
      <c r="C20" s="4"/>
      <c r="D20" s="12" t="str">
        <f t="shared" si="3"/>
        <v/>
      </c>
      <c r="E20" s="4"/>
      <c r="F20" s="4"/>
      <c r="G20" s="7" t="e">
        <f t="shared" si="0"/>
        <v>#VALUE!</v>
      </c>
      <c r="H20" s="8" t="str">
        <f t="shared" si="4"/>
        <v/>
      </c>
      <c r="I20" s="6" t="str">
        <f t="shared" si="1"/>
        <v/>
      </c>
      <c r="J20" s="6" t="str">
        <f t="shared" si="6"/>
        <v/>
      </c>
    </row>
    <row r="21" spans="1:17" ht="30" customHeight="1" x14ac:dyDescent="0.2">
      <c r="A21" s="17">
        <v>45677</v>
      </c>
      <c r="B21" s="4">
        <v>8</v>
      </c>
      <c r="C21" s="4">
        <v>17</v>
      </c>
      <c r="D21" s="12" t="str">
        <f t="shared" si="3"/>
        <v>17.20</v>
      </c>
      <c r="E21" s="4">
        <v>19.5</v>
      </c>
      <c r="F21" s="4"/>
      <c r="G21" s="7">
        <f t="shared" si="0"/>
        <v>2.3000000000000007</v>
      </c>
      <c r="H21" s="8">
        <f t="shared" si="4"/>
        <v>2.5000000000000009</v>
      </c>
      <c r="I21" s="6" t="str">
        <f t="shared" si="1"/>
        <v/>
      </c>
      <c r="J21" s="6" t="str">
        <f t="shared" si="6"/>
        <v/>
      </c>
    </row>
    <row r="22" spans="1:17" ht="30" customHeight="1" x14ac:dyDescent="0.2">
      <c r="A22" s="17">
        <v>45678</v>
      </c>
      <c r="B22" s="4">
        <v>8</v>
      </c>
      <c r="C22" s="4">
        <v>17</v>
      </c>
      <c r="D22" s="12" t="str">
        <f t="shared" si="3"/>
        <v>17.20</v>
      </c>
      <c r="E22" s="4">
        <v>19.5</v>
      </c>
      <c r="F22" s="4"/>
      <c r="G22" s="7">
        <f t="shared" si="0"/>
        <v>2.3000000000000007</v>
      </c>
      <c r="H22" s="8">
        <f t="shared" si="4"/>
        <v>2.5000000000000009</v>
      </c>
      <c r="I22" s="6" t="str">
        <f t="shared" si="1"/>
        <v/>
      </c>
      <c r="J22" s="6" t="str">
        <f t="shared" si="6"/>
        <v/>
      </c>
    </row>
    <row r="23" spans="1:17" ht="30" customHeight="1" x14ac:dyDescent="0.2">
      <c r="A23" s="17">
        <v>45679</v>
      </c>
      <c r="B23" s="4">
        <v>8</v>
      </c>
      <c r="C23" s="4">
        <v>17</v>
      </c>
      <c r="D23" s="12" t="str">
        <f t="shared" si="3"/>
        <v/>
      </c>
      <c r="E23" s="4"/>
      <c r="F23" s="4"/>
      <c r="G23" s="7" t="e">
        <f t="shared" si="0"/>
        <v>#VALUE!</v>
      </c>
      <c r="H23" s="8" t="str">
        <f t="shared" si="4"/>
        <v/>
      </c>
      <c r="I23" s="6" t="str">
        <f t="shared" si="1"/>
        <v/>
      </c>
      <c r="J23" s="6" t="str">
        <f t="shared" si="6"/>
        <v/>
      </c>
    </row>
    <row r="24" spans="1:17" ht="30" customHeight="1" x14ac:dyDescent="0.2">
      <c r="A24" s="17">
        <v>45680</v>
      </c>
      <c r="B24" s="4"/>
      <c r="C24" s="4"/>
      <c r="D24" s="12" t="str">
        <f t="shared" si="3"/>
        <v/>
      </c>
      <c r="E24" s="4"/>
      <c r="F24" s="4"/>
      <c r="G24" s="7" t="e">
        <f t="shared" si="0"/>
        <v>#VALUE!</v>
      </c>
      <c r="H24" s="8" t="str">
        <f t="shared" si="4"/>
        <v/>
      </c>
      <c r="I24" s="6" t="str">
        <f t="shared" si="1"/>
        <v/>
      </c>
      <c r="J24" s="6" t="str">
        <f t="shared" si="6"/>
        <v/>
      </c>
    </row>
    <row r="25" spans="1:17" ht="30" customHeight="1" x14ac:dyDescent="0.2">
      <c r="A25" s="17">
        <v>45681</v>
      </c>
      <c r="B25" s="4"/>
      <c r="C25" s="4"/>
      <c r="D25" s="12" t="str">
        <f t="shared" si="3"/>
        <v/>
      </c>
      <c r="E25" s="4"/>
      <c r="F25" s="4"/>
      <c r="G25" s="7" t="e">
        <f t="shared" si="0"/>
        <v>#VALUE!</v>
      </c>
      <c r="H25" s="8" t="str">
        <f t="shared" si="4"/>
        <v/>
      </c>
      <c r="I25" s="6" t="str">
        <f t="shared" si="1"/>
        <v/>
      </c>
      <c r="J25" s="6" t="str">
        <f t="shared" si="6"/>
        <v/>
      </c>
    </row>
    <row r="26" spans="1:17" ht="30" customHeight="1" x14ac:dyDescent="0.2">
      <c r="A26" s="16">
        <v>45682</v>
      </c>
      <c r="B26" s="4"/>
      <c r="C26" s="4"/>
      <c r="D26" s="12" t="str">
        <f t="shared" si="3"/>
        <v/>
      </c>
      <c r="E26" s="4"/>
      <c r="F26" s="4"/>
      <c r="G26" s="7" t="e">
        <f t="shared" si="0"/>
        <v>#VALUE!</v>
      </c>
      <c r="H26" s="8" t="str">
        <f t="shared" si="4"/>
        <v/>
      </c>
      <c r="I26" s="6" t="str">
        <f t="shared" si="1"/>
        <v/>
      </c>
      <c r="J26" s="6" t="str">
        <f t="shared" si="6"/>
        <v/>
      </c>
    </row>
    <row r="27" spans="1:17" ht="30" customHeight="1" x14ac:dyDescent="0.2">
      <c r="A27" s="16">
        <v>45683</v>
      </c>
      <c r="B27" s="4"/>
      <c r="C27" s="4"/>
      <c r="D27" s="12" t="str">
        <f t="shared" si="3"/>
        <v/>
      </c>
      <c r="E27" s="4"/>
      <c r="F27" s="4"/>
      <c r="G27" s="7" t="e">
        <f t="shared" si="0"/>
        <v>#VALUE!</v>
      </c>
      <c r="H27" s="8" t="str">
        <f t="shared" si="4"/>
        <v/>
      </c>
      <c r="I27" s="6" t="str">
        <f t="shared" si="1"/>
        <v/>
      </c>
      <c r="J27" s="6" t="str">
        <f t="shared" si="6"/>
        <v/>
      </c>
    </row>
    <row r="28" spans="1:17" ht="30" customHeight="1" x14ac:dyDescent="0.2">
      <c r="A28" s="17">
        <v>45684</v>
      </c>
      <c r="B28" s="4">
        <v>8</v>
      </c>
      <c r="C28" s="4">
        <v>17</v>
      </c>
      <c r="D28" s="12" t="str">
        <f t="shared" si="3"/>
        <v>17.20</v>
      </c>
      <c r="E28" s="4">
        <v>19.5</v>
      </c>
      <c r="F28" s="4"/>
      <c r="G28" s="7">
        <f t="shared" si="0"/>
        <v>2.3000000000000007</v>
      </c>
      <c r="H28" s="8">
        <f t="shared" si="4"/>
        <v>2.5000000000000009</v>
      </c>
      <c r="I28" s="6" t="str">
        <f t="shared" si="1"/>
        <v/>
      </c>
      <c r="J28" s="6" t="str">
        <f t="shared" si="6"/>
        <v/>
      </c>
    </row>
    <row r="29" spans="1:17" ht="30" customHeight="1" x14ac:dyDescent="0.2">
      <c r="A29" s="17">
        <v>45685</v>
      </c>
      <c r="B29" s="4">
        <v>8</v>
      </c>
      <c r="C29" s="4">
        <v>17</v>
      </c>
      <c r="D29" s="12" t="str">
        <f t="shared" si="3"/>
        <v>17.20</v>
      </c>
      <c r="E29" s="4">
        <v>19.2</v>
      </c>
      <c r="F29" s="4"/>
      <c r="G29" s="7">
        <f t="shared" si="0"/>
        <v>2</v>
      </c>
      <c r="H29" s="8">
        <f t="shared" si="4"/>
        <v>2</v>
      </c>
      <c r="I29" s="6" t="str">
        <f t="shared" si="1"/>
        <v/>
      </c>
      <c r="J29" s="6" t="str">
        <f t="shared" si="6"/>
        <v/>
      </c>
    </row>
    <row r="30" spans="1:17" ht="30" customHeight="1" x14ac:dyDescent="0.2">
      <c r="A30" s="17">
        <v>45686</v>
      </c>
      <c r="B30" s="4">
        <v>8</v>
      </c>
      <c r="C30" s="4">
        <v>17</v>
      </c>
      <c r="D30" s="12" t="str">
        <f t="shared" si="3"/>
        <v>17.20</v>
      </c>
      <c r="E30" s="4">
        <v>19.5</v>
      </c>
      <c r="F30" s="4"/>
      <c r="G30" s="7">
        <f t="shared" si="0"/>
        <v>2.3000000000000007</v>
      </c>
      <c r="H30" s="8">
        <f t="shared" si="4"/>
        <v>2.5000000000000009</v>
      </c>
      <c r="I30" s="6" t="str">
        <f t="shared" si="1"/>
        <v/>
      </c>
      <c r="J30" s="6" t="str">
        <f t="shared" si="6"/>
        <v/>
      </c>
    </row>
    <row r="31" spans="1:17" ht="30" customHeight="1" x14ac:dyDescent="0.2">
      <c r="A31" s="17">
        <v>45687</v>
      </c>
      <c r="B31" s="4">
        <v>8</v>
      </c>
      <c r="C31" s="4">
        <v>17</v>
      </c>
      <c r="D31" s="12" t="str">
        <f t="shared" si="3"/>
        <v/>
      </c>
      <c r="E31" s="4"/>
      <c r="F31" s="4"/>
      <c r="G31" s="7" t="e">
        <f>E31-D31</f>
        <v>#VALUE!</v>
      </c>
      <c r="H31" s="8" t="str">
        <f t="shared" si="4"/>
        <v/>
      </c>
      <c r="I31" s="6" t="str">
        <f t="shared" si="1"/>
        <v/>
      </c>
      <c r="J31" s="6" t="str">
        <f t="shared" si="6"/>
        <v/>
      </c>
    </row>
    <row r="32" spans="1:17" ht="30" customHeight="1" x14ac:dyDescent="0.2">
      <c r="A32" s="17">
        <v>45688</v>
      </c>
      <c r="B32" s="4">
        <v>8</v>
      </c>
      <c r="C32" s="4">
        <v>17</v>
      </c>
      <c r="D32" s="12" t="str">
        <f t="shared" si="3"/>
        <v>17.20</v>
      </c>
      <c r="E32" s="4">
        <v>19.2</v>
      </c>
      <c r="F32" s="4"/>
      <c r="G32" s="7">
        <f>E32-D32</f>
        <v>2</v>
      </c>
      <c r="H32" s="8">
        <f t="shared" si="4"/>
        <v>2</v>
      </c>
      <c r="I32" s="6" t="str">
        <f t="shared" si="1"/>
        <v/>
      </c>
      <c r="J32" s="6" t="str">
        <f t="shared" si="6"/>
        <v/>
      </c>
    </row>
    <row r="33" spans="1:3" ht="30" customHeight="1" x14ac:dyDescent="0.2"/>
    <row r="34" spans="1:3" ht="30" customHeight="1" x14ac:dyDescent="0.2">
      <c r="A34" s="14">
        <f>M18*173.07</f>
        <v>5192.1000000000013</v>
      </c>
      <c r="B34" s="14">
        <f>N18*115.38</f>
        <v>1442.2499999999995</v>
      </c>
      <c r="C34" s="14">
        <f>A34+B34</f>
        <v>6634.35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6:N16"/>
    <mergeCell ref="L17:L1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8C2-8100-4EAF-B12D-6E8A6CF5CFAC}">
  <dimension ref="A1:Q437"/>
  <sheetViews>
    <sheetView zoomScaleNormal="100" workbookViewId="0">
      <pane ySplit="1" topLeftCell="A17" activePane="bottomLeft" state="frozen"/>
      <selection pane="bottomLeft" activeCell="M23" sqref="L23:M23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5" width="9.75" style="1" bestFit="1" customWidth="1"/>
    <col min="16" max="16384" width="9" style="1"/>
  </cols>
  <sheetData>
    <row r="1" spans="1:15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  <c r="K1" s="10" t="s">
        <v>13</v>
      </c>
    </row>
    <row r="2" spans="1:15" ht="30" customHeight="1" x14ac:dyDescent="0.2">
      <c r="A2" s="16">
        <v>45689</v>
      </c>
      <c r="B2" s="4">
        <v>8</v>
      </c>
      <c r="C2" s="4">
        <v>17</v>
      </c>
      <c r="D2" s="11" t="str">
        <f>IF(E2&gt;17,"17.20","")</f>
        <v/>
      </c>
      <c r="E2" s="6"/>
      <c r="F2" s="4">
        <v>16</v>
      </c>
      <c r="G2" s="7" t="e">
        <f t="shared" ref="G2:G29" si="0">E2-D2</f>
        <v>#VALUE!</v>
      </c>
      <c r="H2" s="8" t="str">
        <f>IF(D2&lt;&gt;"",IF(MOD(G2,1)&lt;&gt;0,G2+0.2,G2),"")</f>
        <v/>
      </c>
      <c r="I2" s="6">
        <f t="shared" ref="I2:I29" si="1">IF(F2&lt;&gt;"",(F2-B2)-1,"")</f>
        <v>7</v>
      </c>
      <c r="J2" s="6">
        <f t="shared" ref="J2:J16" si="2">IF(I2&lt;&gt;"",IF(MOD(I2,1)&lt;&gt;0,I2-0.2,I2),"")</f>
        <v>7</v>
      </c>
      <c r="K2" s="6"/>
    </row>
    <row r="3" spans="1:15" ht="30" customHeight="1" x14ac:dyDescent="0.2">
      <c r="A3" s="16">
        <v>45690</v>
      </c>
      <c r="B3" s="4"/>
      <c r="C3" s="4"/>
      <c r="D3" s="11" t="str">
        <f t="shared" ref="D3:D32" si="3">IF(E3&gt;17,"17.20","")</f>
        <v/>
      </c>
      <c r="E3" s="4"/>
      <c r="F3" s="4"/>
      <c r="G3" s="7" t="e">
        <f t="shared" si="0"/>
        <v>#VALUE!</v>
      </c>
      <c r="H3" s="8" t="str">
        <f t="shared" ref="H3:H29" si="4">IF(D3&lt;&gt;"",IF(MOD(G3,1)&lt;&gt;0,G3+0.2,G3),"")</f>
        <v/>
      </c>
      <c r="I3" s="6" t="str">
        <f t="shared" si="1"/>
        <v/>
      </c>
      <c r="J3" s="6" t="str">
        <f t="shared" si="2"/>
        <v/>
      </c>
      <c r="K3" s="6"/>
    </row>
    <row r="4" spans="1:15" ht="30" customHeight="1" x14ac:dyDescent="0.2">
      <c r="A4" s="18">
        <v>45691</v>
      </c>
      <c r="B4" s="4">
        <v>8</v>
      </c>
      <c r="C4" s="4">
        <v>17</v>
      </c>
      <c r="D4" s="11" t="str">
        <f t="shared" si="3"/>
        <v/>
      </c>
      <c r="E4" s="4"/>
      <c r="F4" s="4"/>
      <c r="G4" s="7" t="e">
        <f t="shared" si="0"/>
        <v>#VALUE!</v>
      </c>
      <c r="H4" s="8" t="str">
        <f t="shared" si="4"/>
        <v/>
      </c>
      <c r="I4" s="6" t="str">
        <f t="shared" si="1"/>
        <v/>
      </c>
      <c r="J4" s="6" t="str">
        <f t="shared" si="2"/>
        <v/>
      </c>
      <c r="K4" s="6"/>
    </row>
    <row r="5" spans="1:15" ht="30" customHeight="1" x14ac:dyDescent="0.2">
      <c r="A5" s="18">
        <v>45692</v>
      </c>
      <c r="B5" s="4"/>
      <c r="C5" s="4"/>
      <c r="D5" s="11" t="str">
        <f t="shared" si="3"/>
        <v/>
      </c>
      <c r="E5" s="4"/>
      <c r="F5" s="4"/>
      <c r="G5" s="7" t="e">
        <f t="shared" si="0"/>
        <v>#VALUE!</v>
      </c>
      <c r="H5" s="8" t="str">
        <f t="shared" si="4"/>
        <v/>
      </c>
      <c r="I5" s="6" t="str">
        <f t="shared" si="1"/>
        <v/>
      </c>
      <c r="J5" s="6" t="str">
        <f t="shared" si="2"/>
        <v/>
      </c>
      <c r="K5" s="6"/>
    </row>
    <row r="6" spans="1:15" ht="30" customHeight="1" x14ac:dyDescent="0.2">
      <c r="A6" s="18">
        <v>45693</v>
      </c>
      <c r="B6" s="4"/>
      <c r="C6" s="4"/>
      <c r="D6" s="11" t="str">
        <f t="shared" si="3"/>
        <v/>
      </c>
      <c r="E6" s="6"/>
      <c r="F6" s="4"/>
      <c r="G6" s="7" t="e">
        <f t="shared" si="0"/>
        <v>#VALUE!</v>
      </c>
      <c r="H6" s="8" t="str">
        <f t="shared" si="4"/>
        <v/>
      </c>
      <c r="I6" s="6" t="str">
        <f t="shared" si="1"/>
        <v/>
      </c>
      <c r="J6" s="6" t="str">
        <f t="shared" si="2"/>
        <v/>
      </c>
      <c r="K6" s="6"/>
    </row>
    <row r="7" spans="1:15" ht="30" customHeight="1" x14ac:dyDescent="0.2">
      <c r="A7" s="18">
        <v>45694</v>
      </c>
      <c r="B7" s="4"/>
      <c r="C7" s="4"/>
      <c r="D7" s="11" t="str">
        <f t="shared" si="3"/>
        <v/>
      </c>
      <c r="E7" s="4"/>
      <c r="F7" s="4"/>
      <c r="G7" s="7" t="e">
        <f t="shared" si="0"/>
        <v>#VALUE!</v>
      </c>
      <c r="H7" s="8" t="str">
        <f t="shared" si="4"/>
        <v/>
      </c>
      <c r="I7" s="6" t="str">
        <f t="shared" si="1"/>
        <v/>
      </c>
      <c r="J7" s="6" t="str">
        <f t="shared" si="2"/>
        <v/>
      </c>
      <c r="K7" s="6"/>
    </row>
    <row r="8" spans="1:15" ht="30" customHeight="1" x14ac:dyDescent="0.2">
      <c r="A8" s="18">
        <v>45695</v>
      </c>
      <c r="B8" s="4"/>
      <c r="C8" s="4"/>
      <c r="D8" s="11" t="str">
        <f t="shared" si="3"/>
        <v/>
      </c>
      <c r="E8" s="6"/>
      <c r="F8" s="4"/>
      <c r="G8" s="7" t="e">
        <f t="shared" si="0"/>
        <v>#VALUE!</v>
      </c>
      <c r="H8" s="8" t="str">
        <f t="shared" si="4"/>
        <v/>
      </c>
      <c r="I8" s="6" t="str">
        <f t="shared" si="1"/>
        <v/>
      </c>
      <c r="J8" s="6" t="str">
        <f t="shared" si="2"/>
        <v/>
      </c>
      <c r="K8" s="6"/>
    </row>
    <row r="9" spans="1:15" ht="30" customHeight="1" x14ac:dyDescent="0.2">
      <c r="A9" s="16">
        <v>45696</v>
      </c>
      <c r="B9" s="4"/>
      <c r="C9" s="4"/>
      <c r="D9" s="11" t="str">
        <f t="shared" si="3"/>
        <v/>
      </c>
      <c r="E9" s="6"/>
      <c r="F9" s="4"/>
      <c r="G9" s="7" t="e">
        <f t="shared" si="0"/>
        <v>#VALUE!</v>
      </c>
      <c r="H9" s="8" t="str">
        <f t="shared" si="4"/>
        <v/>
      </c>
      <c r="I9" s="6" t="str">
        <f t="shared" si="1"/>
        <v/>
      </c>
      <c r="J9" s="6" t="str">
        <f t="shared" si="2"/>
        <v/>
      </c>
      <c r="K9" s="6"/>
    </row>
    <row r="10" spans="1:15" ht="30" customHeight="1" x14ac:dyDescent="0.2">
      <c r="A10" s="16">
        <v>45697</v>
      </c>
      <c r="B10" s="4"/>
      <c r="C10" s="4"/>
      <c r="D10" s="11" t="str">
        <f t="shared" si="3"/>
        <v/>
      </c>
      <c r="E10" s="4"/>
      <c r="F10" s="4"/>
      <c r="G10" s="13" t="e">
        <f t="shared" si="0"/>
        <v>#VALUE!</v>
      </c>
      <c r="H10" s="8" t="str">
        <f t="shared" si="4"/>
        <v/>
      </c>
      <c r="I10" s="13" t="str">
        <f t="shared" si="1"/>
        <v/>
      </c>
      <c r="J10" s="13" t="str">
        <f t="shared" si="2"/>
        <v/>
      </c>
      <c r="K10" s="6"/>
    </row>
    <row r="11" spans="1:15" ht="30" customHeight="1" x14ac:dyDescent="0.2">
      <c r="A11" s="18">
        <v>45698</v>
      </c>
      <c r="B11" s="4"/>
      <c r="C11" s="4"/>
      <c r="D11" s="11" t="str">
        <f t="shared" si="3"/>
        <v/>
      </c>
      <c r="E11" s="4"/>
      <c r="F11" s="4"/>
      <c r="G11" s="7" t="e">
        <f t="shared" si="0"/>
        <v>#VALUE!</v>
      </c>
      <c r="H11" s="8" t="str">
        <f t="shared" si="4"/>
        <v/>
      </c>
      <c r="I11" s="6" t="str">
        <f t="shared" si="1"/>
        <v/>
      </c>
      <c r="J11" s="6" t="str">
        <f t="shared" si="2"/>
        <v/>
      </c>
      <c r="K11" s="6"/>
    </row>
    <row r="12" spans="1:15" ht="30" customHeight="1" x14ac:dyDescent="0.2">
      <c r="A12" s="18">
        <v>45699</v>
      </c>
      <c r="B12" s="4"/>
      <c r="C12" s="4"/>
      <c r="D12" s="11" t="str">
        <f t="shared" si="3"/>
        <v/>
      </c>
      <c r="E12" s="4"/>
      <c r="F12" s="4"/>
      <c r="G12" s="7" t="e">
        <f t="shared" si="0"/>
        <v>#VALUE!</v>
      </c>
      <c r="H12" s="8" t="str">
        <f t="shared" si="4"/>
        <v/>
      </c>
      <c r="I12" s="6" t="str">
        <f t="shared" si="1"/>
        <v/>
      </c>
      <c r="J12" s="6" t="str">
        <f t="shared" si="2"/>
        <v/>
      </c>
      <c r="K12" s="6"/>
    </row>
    <row r="13" spans="1:15" ht="30" customHeight="1" x14ac:dyDescent="0.2">
      <c r="A13" s="18">
        <v>45700</v>
      </c>
      <c r="B13" s="4"/>
      <c r="C13" s="4"/>
      <c r="D13" s="11" t="str">
        <f t="shared" si="3"/>
        <v/>
      </c>
      <c r="E13" s="4"/>
      <c r="F13" s="4"/>
      <c r="G13" s="7" t="e">
        <f t="shared" si="0"/>
        <v>#VALUE!</v>
      </c>
      <c r="H13" s="8" t="str">
        <f t="shared" si="4"/>
        <v/>
      </c>
      <c r="I13" s="6" t="str">
        <f t="shared" si="1"/>
        <v/>
      </c>
      <c r="J13" s="6" t="str">
        <f t="shared" si="2"/>
        <v/>
      </c>
      <c r="K13" s="6"/>
    </row>
    <row r="14" spans="1:15" ht="30" customHeight="1" x14ac:dyDescent="0.2">
      <c r="A14" s="18">
        <v>45701</v>
      </c>
      <c r="B14" s="4"/>
      <c r="C14" s="4"/>
      <c r="D14" s="11" t="str">
        <f t="shared" si="3"/>
        <v/>
      </c>
      <c r="E14" s="4"/>
      <c r="F14" s="4"/>
      <c r="G14" s="7" t="e">
        <f t="shared" si="0"/>
        <v>#VALUE!</v>
      </c>
      <c r="H14" s="8" t="str">
        <f t="shared" si="4"/>
        <v/>
      </c>
      <c r="I14" s="6" t="str">
        <f t="shared" si="1"/>
        <v/>
      </c>
      <c r="J14" s="6" t="str">
        <f t="shared" si="2"/>
        <v/>
      </c>
      <c r="K14" s="6"/>
    </row>
    <row r="15" spans="1:15" ht="30" customHeight="1" x14ac:dyDescent="0.2">
      <c r="A15" s="18">
        <v>45702</v>
      </c>
      <c r="B15" s="4"/>
      <c r="C15" s="4"/>
      <c r="D15" s="11" t="str">
        <f t="shared" si="3"/>
        <v/>
      </c>
      <c r="E15" s="6"/>
      <c r="F15" s="4"/>
      <c r="G15" s="7" t="e">
        <f t="shared" si="0"/>
        <v>#VALUE!</v>
      </c>
      <c r="H15" s="8" t="str">
        <f t="shared" si="4"/>
        <v/>
      </c>
      <c r="I15" s="6" t="str">
        <f t="shared" si="1"/>
        <v/>
      </c>
      <c r="J15" s="6" t="str">
        <f t="shared" si="2"/>
        <v/>
      </c>
      <c r="K15" s="6"/>
    </row>
    <row r="16" spans="1:15" ht="30" customHeight="1" x14ac:dyDescent="0.2">
      <c r="A16" s="16">
        <v>45703</v>
      </c>
      <c r="B16" s="4"/>
      <c r="C16" s="4"/>
      <c r="D16" s="11" t="str">
        <f t="shared" si="3"/>
        <v/>
      </c>
      <c r="E16" s="4"/>
      <c r="F16" s="4"/>
      <c r="G16" s="7" t="e">
        <f t="shared" si="0"/>
        <v>#VALUE!</v>
      </c>
      <c r="H16" s="8" t="str">
        <f t="shared" si="4"/>
        <v/>
      </c>
      <c r="I16" s="6" t="str">
        <f t="shared" si="1"/>
        <v/>
      </c>
      <c r="J16" s="6" t="str">
        <f t="shared" si="2"/>
        <v/>
      </c>
      <c r="K16" s="6"/>
      <c r="L16" s="27" t="s">
        <v>12</v>
      </c>
      <c r="M16" s="28"/>
      <c r="N16" s="28"/>
      <c r="O16" s="28"/>
    </row>
    <row r="17" spans="1:17" ht="30" customHeight="1" x14ac:dyDescent="0.2">
      <c r="A17" s="16">
        <v>45704</v>
      </c>
      <c r="B17" s="4"/>
      <c r="C17" s="4"/>
      <c r="D17" s="11" t="str">
        <f t="shared" si="3"/>
        <v/>
      </c>
      <c r="E17" s="4"/>
      <c r="F17" s="4"/>
      <c r="G17" s="7" t="e">
        <f t="shared" si="0"/>
        <v>#VALUE!</v>
      </c>
      <c r="H17" s="8" t="str">
        <f t="shared" si="4"/>
        <v/>
      </c>
      <c r="I17" s="6" t="str">
        <f>IF(F17&lt;&gt;"",(F17-B17)-1,"")</f>
        <v/>
      </c>
      <c r="J17" s="6" t="str">
        <f>IF(I17&lt;&gt;"",IF(MOD(I17,1)&lt;&gt;0,I17-0.2,I17),"")</f>
        <v/>
      </c>
      <c r="K17" s="6"/>
      <c r="L17" s="25" t="s">
        <v>8</v>
      </c>
      <c r="M17" s="2" t="s">
        <v>9</v>
      </c>
      <c r="N17" s="2" t="s">
        <v>10</v>
      </c>
      <c r="O17" s="2" t="s">
        <v>14</v>
      </c>
    </row>
    <row r="18" spans="1:17" ht="30" customHeight="1" x14ac:dyDescent="0.2">
      <c r="A18" s="18">
        <v>45705</v>
      </c>
      <c r="B18" s="4">
        <v>8</v>
      </c>
      <c r="C18" s="4">
        <v>17</v>
      </c>
      <c r="D18" s="11" t="str">
        <f t="shared" si="3"/>
        <v>17.20</v>
      </c>
      <c r="E18" s="4">
        <v>19.5</v>
      </c>
      <c r="F18" s="4"/>
      <c r="G18" s="7">
        <f t="shared" si="0"/>
        <v>2.3000000000000007</v>
      </c>
      <c r="H18" s="8">
        <f t="shared" si="4"/>
        <v>2.5000000000000009</v>
      </c>
      <c r="I18" s="6" t="str">
        <f t="shared" si="1"/>
        <v/>
      </c>
      <c r="J18" s="6" t="str">
        <f t="shared" ref="J18:J29" si="5">IF(I18&lt;&gt;"",IF(MOD(I18,1)&lt;&gt;0,I18-0.2,I18),"")</f>
        <v/>
      </c>
      <c r="K18" s="6"/>
      <c r="L18" s="26"/>
      <c r="M18" s="8">
        <f>SUM(Jan.25!H17:H32)+SUM(H2:H16)</f>
        <v>16.000000000000004</v>
      </c>
      <c r="N18" s="6">
        <f>SUM(Jan.25!J17:J32)+SUM(Feb.25!J2:J16)</f>
        <v>13.5</v>
      </c>
      <c r="O18" s="6" t="e">
        <f>SUM(K17:K32)+SUM(#REF!)</f>
        <v>#REF!</v>
      </c>
      <c r="Q18" s="9"/>
    </row>
    <row r="19" spans="1:17" ht="30" customHeight="1" x14ac:dyDescent="0.2">
      <c r="A19" s="18">
        <v>45706</v>
      </c>
      <c r="B19" s="4">
        <v>8</v>
      </c>
      <c r="C19" s="4">
        <v>17</v>
      </c>
      <c r="D19" s="11" t="str">
        <f t="shared" si="3"/>
        <v>17.20</v>
      </c>
      <c r="E19" s="4">
        <v>19.5</v>
      </c>
      <c r="F19" s="4"/>
      <c r="G19" s="7">
        <f t="shared" si="0"/>
        <v>2.3000000000000007</v>
      </c>
      <c r="H19" s="8">
        <f t="shared" si="4"/>
        <v>2.5000000000000009</v>
      </c>
      <c r="I19" s="6" t="str">
        <f t="shared" si="1"/>
        <v/>
      </c>
      <c r="J19" s="6" t="str">
        <f t="shared" si="5"/>
        <v/>
      </c>
      <c r="K19" s="6"/>
      <c r="M19" s="14"/>
      <c r="N19" s="14"/>
      <c r="O19" s="14"/>
    </row>
    <row r="20" spans="1:17" ht="30" customHeight="1" x14ac:dyDescent="0.2">
      <c r="A20" s="18">
        <v>45707</v>
      </c>
      <c r="B20" s="4">
        <v>8</v>
      </c>
      <c r="C20" s="4">
        <v>17</v>
      </c>
      <c r="D20" s="11" t="str">
        <f t="shared" si="3"/>
        <v>17.20</v>
      </c>
      <c r="E20" s="4">
        <v>18.2</v>
      </c>
      <c r="F20" s="4"/>
      <c r="G20" s="7">
        <f t="shared" si="0"/>
        <v>1</v>
      </c>
      <c r="H20" s="8">
        <f t="shared" si="4"/>
        <v>1</v>
      </c>
      <c r="I20" s="6" t="str">
        <f t="shared" si="1"/>
        <v/>
      </c>
      <c r="J20" s="6" t="str">
        <f t="shared" si="5"/>
        <v/>
      </c>
      <c r="K20" s="6"/>
    </row>
    <row r="21" spans="1:17" ht="30" customHeight="1" x14ac:dyDescent="0.2">
      <c r="A21" s="18">
        <v>45708</v>
      </c>
      <c r="B21" s="4">
        <v>8</v>
      </c>
      <c r="C21" s="4">
        <v>17</v>
      </c>
      <c r="D21" s="11" t="str">
        <f t="shared" si="3"/>
        <v>17.20</v>
      </c>
      <c r="E21" s="4">
        <v>19.5</v>
      </c>
      <c r="F21" s="4"/>
      <c r="G21" s="7">
        <f t="shared" si="0"/>
        <v>2.3000000000000007</v>
      </c>
      <c r="H21" s="8">
        <f t="shared" si="4"/>
        <v>2.5000000000000009</v>
      </c>
      <c r="I21" s="6" t="str">
        <f t="shared" si="1"/>
        <v/>
      </c>
      <c r="J21" s="6" t="str">
        <f t="shared" si="5"/>
        <v/>
      </c>
      <c r="K21" s="6"/>
    </row>
    <row r="22" spans="1:17" ht="30" customHeight="1" x14ac:dyDescent="0.2">
      <c r="A22" s="18">
        <v>45709</v>
      </c>
      <c r="B22" s="4">
        <v>8</v>
      </c>
      <c r="C22" s="4">
        <v>17</v>
      </c>
      <c r="D22" s="11" t="str">
        <f t="shared" si="3"/>
        <v/>
      </c>
      <c r="E22" s="4">
        <v>17</v>
      </c>
      <c r="F22" s="4"/>
      <c r="G22" s="7" t="e">
        <f t="shared" si="0"/>
        <v>#VALUE!</v>
      </c>
      <c r="H22" s="8" t="str">
        <f t="shared" si="4"/>
        <v/>
      </c>
      <c r="I22" s="6" t="str">
        <f t="shared" si="1"/>
        <v/>
      </c>
      <c r="J22" s="6" t="str">
        <f t="shared" si="5"/>
        <v/>
      </c>
      <c r="K22" s="6"/>
    </row>
    <row r="23" spans="1:17" ht="30" customHeight="1" x14ac:dyDescent="0.2">
      <c r="A23" s="16">
        <v>45710</v>
      </c>
      <c r="B23" s="4">
        <v>8</v>
      </c>
      <c r="C23" s="4">
        <v>17</v>
      </c>
      <c r="D23" s="11" t="str">
        <f t="shared" si="3"/>
        <v/>
      </c>
      <c r="E23" s="4"/>
      <c r="F23" s="4">
        <v>17</v>
      </c>
      <c r="G23" s="7" t="e">
        <f t="shared" si="0"/>
        <v>#VALUE!</v>
      </c>
      <c r="H23" s="8" t="str">
        <f t="shared" si="4"/>
        <v/>
      </c>
      <c r="I23" s="6">
        <f t="shared" si="1"/>
        <v>8</v>
      </c>
      <c r="J23" s="6">
        <f t="shared" si="5"/>
        <v>8</v>
      </c>
      <c r="K23" s="6">
        <v>2.5</v>
      </c>
    </row>
    <row r="24" spans="1:17" ht="30" customHeight="1" x14ac:dyDescent="0.2">
      <c r="A24" s="16">
        <v>45711</v>
      </c>
      <c r="B24" s="4"/>
      <c r="C24" s="4"/>
      <c r="D24" s="11" t="str">
        <f t="shared" si="3"/>
        <v/>
      </c>
      <c r="E24" s="4"/>
      <c r="F24" s="4"/>
      <c r="G24" s="7" t="e">
        <f t="shared" si="0"/>
        <v>#VALUE!</v>
      </c>
      <c r="H24" s="8" t="str">
        <f t="shared" si="4"/>
        <v/>
      </c>
      <c r="I24" s="6" t="str">
        <f t="shared" si="1"/>
        <v/>
      </c>
      <c r="J24" s="6" t="str">
        <f t="shared" si="5"/>
        <v/>
      </c>
      <c r="K24" s="6"/>
    </row>
    <row r="25" spans="1:17" ht="30" customHeight="1" x14ac:dyDescent="0.2">
      <c r="A25" s="18">
        <v>45712</v>
      </c>
      <c r="B25" s="4">
        <v>8</v>
      </c>
      <c r="C25" s="4">
        <v>17</v>
      </c>
      <c r="D25" s="11" t="str">
        <f t="shared" si="3"/>
        <v/>
      </c>
      <c r="E25" s="4"/>
      <c r="F25" s="4">
        <v>17</v>
      </c>
      <c r="G25" s="7" t="e">
        <f t="shared" si="0"/>
        <v>#VALUE!</v>
      </c>
      <c r="H25" s="8" t="str">
        <f t="shared" si="4"/>
        <v/>
      </c>
      <c r="I25" s="6">
        <f t="shared" si="1"/>
        <v>8</v>
      </c>
      <c r="J25" s="6">
        <f t="shared" si="5"/>
        <v>8</v>
      </c>
      <c r="K25" s="6"/>
    </row>
    <row r="26" spans="1:17" ht="30" customHeight="1" x14ac:dyDescent="0.2">
      <c r="A26" s="18">
        <v>45713</v>
      </c>
      <c r="B26" s="4">
        <v>8</v>
      </c>
      <c r="C26" s="4">
        <v>17</v>
      </c>
      <c r="D26" s="11" t="str">
        <f t="shared" si="3"/>
        <v>17.20</v>
      </c>
      <c r="E26" s="4">
        <v>19.5</v>
      </c>
      <c r="F26" s="4"/>
      <c r="G26" s="7">
        <f t="shared" si="0"/>
        <v>2.3000000000000007</v>
      </c>
      <c r="H26" s="8">
        <f t="shared" si="4"/>
        <v>2.5000000000000009</v>
      </c>
      <c r="I26" s="6" t="str">
        <f t="shared" si="1"/>
        <v/>
      </c>
      <c r="J26" s="6" t="str">
        <f t="shared" si="5"/>
        <v/>
      </c>
      <c r="K26" s="6"/>
    </row>
    <row r="27" spans="1:17" ht="30" customHeight="1" x14ac:dyDescent="0.2">
      <c r="A27" s="18">
        <v>45714</v>
      </c>
      <c r="B27" s="4">
        <v>8</v>
      </c>
      <c r="C27" s="4">
        <v>17</v>
      </c>
      <c r="D27" s="11" t="str">
        <f t="shared" si="3"/>
        <v>17.20</v>
      </c>
      <c r="E27" s="4">
        <v>19.5</v>
      </c>
      <c r="F27" s="4"/>
      <c r="G27" s="7">
        <f t="shared" si="0"/>
        <v>2.3000000000000007</v>
      </c>
      <c r="H27" s="8">
        <f t="shared" si="4"/>
        <v>2.5000000000000009</v>
      </c>
      <c r="I27" s="6" t="str">
        <f t="shared" si="1"/>
        <v/>
      </c>
      <c r="J27" s="6" t="str">
        <f t="shared" si="5"/>
        <v/>
      </c>
      <c r="K27" s="6"/>
    </row>
    <row r="28" spans="1:17" ht="30" customHeight="1" x14ac:dyDescent="0.2">
      <c r="A28" s="18">
        <v>45715</v>
      </c>
      <c r="B28" s="4">
        <v>8</v>
      </c>
      <c r="C28" s="4">
        <v>17</v>
      </c>
      <c r="D28" s="11" t="str">
        <f t="shared" si="3"/>
        <v>17.20</v>
      </c>
      <c r="E28" s="4">
        <v>19.5</v>
      </c>
      <c r="F28" s="4"/>
      <c r="G28" s="7">
        <f t="shared" si="0"/>
        <v>2.3000000000000007</v>
      </c>
      <c r="H28" s="8">
        <f t="shared" si="4"/>
        <v>2.5000000000000009</v>
      </c>
      <c r="I28" s="6" t="str">
        <f t="shared" si="1"/>
        <v/>
      </c>
      <c r="J28" s="6" t="str">
        <f t="shared" si="5"/>
        <v/>
      </c>
      <c r="K28" s="6"/>
    </row>
    <row r="29" spans="1:17" ht="30" customHeight="1" x14ac:dyDescent="0.2">
      <c r="A29" s="18">
        <v>45716</v>
      </c>
      <c r="B29" s="4">
        <v>8</v>
      </c>
      <c r="C29" s="4">
        <v>17</v>
      </c>
      <c r="D29" s="11" t="str">
        <f t="shared" si="3"/>
        <v>17.20</v>
      </c>
      <c r="E29" s="4">
        <v>19.2</v>
      </c>
      <c r="F29" s="4"/>
      <c r="G29" s="7">
        <f t="shared" si="0"/>
        <v>2</v>
      </c>
      <c r="H29" s="8">
        <f t="shared" si="4"/>
        <v>2</v>
      </c>
      <c r="I29" s="6" t="str">
        <f t="shared" si="1"/>
        <v/>
      </c>
      <c r="J29" s="6" t="str">
        <f t="shared" si="5"/>
        <v/>
      </c>
      <c r="K29" s="6"/>
    </row>
    <row r="30" spans="1:17" ht="30" customHeight="1" x14ac:dyDescent="0.2">
      <c r="A30" s="18"/>
      <c r="B30" s="4"/>
      <c r="C30" s="4"/>
      <c r="D30" s="11" t="str">
        <f t="shared" si="3"/>
        <v/>
      </c>
      <c r="E30" s="4"/>
      <c r="F30" s="4"/>
      <c r="G30" s="7"/>
      <c r="H30" s="8"/>
      <c r="I30" s="6"/>
      <c r="J30" s="6"/>
      <c r="K30" s="6"/>
    </row>
    <row r="31" spans="1:17" ht="30" customHeight="1" x14ac:dyDescent="0.2">
      <c r="A31" s="18"/>
      <c r="B31" s="4"/>
      <c r="C31" s="4"/>
      <c r="D31" s="11" t="str">
        <f t="shared" si="3"/>
        <v/>
      </c>
      <c r="E31" s="4"/>
      <c r="F31" s="4"/>
      <c r="G31" s="7"/>
      <c r="H31" s="8"/>
      <c r="I31" s="6"/>
      <c r="J31" s="6"/>
      <c r="K31" s="6"/>
    </row>
    <row r="32" spans="1:17" ht="30" customHeight="1" x14ac:dyDescent="0.2">
      <c r="A32" s="18"/>
      <c r="B32" s="4"/>
      <c r="C32" s="4"/>
      <c r="D32" s="11" t="str">
        <f t="shared" si="3"/>
        <v/>
      </c>
      <c r="E32" s="4"/>
      <c r="F32" s="4"/>
      <c r="G32" s="7"/>
      <c r="H32" s="8"/>
      <c r="I32" s="6"/>
      <c r="J32" s="6"/>
      <c r="K32" s="6"/>
    </row>
    <row r="33" spans="1:3" ht="30" customHeight="1" x14ac:dyDescent="0.2"/>
    <row r="34" spans="1:3" ht="30" customHeight="1" x14ac:dyDescent="0.2">
      <c r="A34" s="14">
        <f>M18*173.07</f>
        <v>2769.1200000000003</v>
      </c>
      <c r="B34" s="14">
        <f>N18*115.38</f>
        <v>1557.6299999999999</v>
      </c>
      <c r="C34" s="14">
        <f>A34+B34</f>
        <v>4326.75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7:L18"/>
    <mergeCell ref="L16:O16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0FE4-8197-4D2E-AC93-AF2B1A606602}">
  <dimension ref="A1:Q437"/>
  <sheetViews>
    <sheetView zoomScaleNormal="100" workbookViewId="0">
      <pane ySplit="1" topLeftCell="A2" activePane="bottomLeft" state="frozen"/>
      <selection pane="bottomLeft" activeCell="M18" sqref="M18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5" width="9.75" style="1" bestFit="1" customWidth="1"/>
    <col min="16" max="16384" width="9" style="1"/>
  </cols>
  <sheetData>
    <row r="1" spans="1:15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  <c r="K1" s="10" t="s">
        <v>13</v>
      </c>
    </row>
    <row r="2" spans="1:15" ht="30" customHeight="1" x14ac:dyDescent="0.2">
      <c r="A2" s="16">
        <v>45717</v>
      </c>
      <c r="B2" s="4">
        <v>8</v>
      </c>
      <c r="C2" s="4">
        <v>17</v>
      </c>
      <c r="D2" s="11" t="str">
        <f>IF(E2&gt;17,"17.20","")</f>
        <v/>
      </c>
      <c r="E2" s="6"/>
      <c r="F2" s="4">
        <v>17</v>
      </c>
      <c r="G2" s="7" t="e">
        <f t="shared" ref="G2:G29" si="0">E2-D2</f>
        <v>#VALUE!</v>
      </c>
      <c r="H2" s="8" t="str">
        <f>IF(D2&lt;&gt;"",IF(MOD(G2,1)&lt;&gt;0,G2+0.2,G2),"")</f>
        <v/>
      </c>
      <c r="I2" s="6">
        <f t="shared" ref="I2:I29" si="1">IF(F2&lt;&gt;"",(F2-B2)-1,"")</f>
        <v>8</v>
      </c>
      <c r="J2" s="6">
        <f t="shared" ref="J2:J16" si="2">IF(I2&lt;&gt;"",IF(MOD(I2,1)&lt;&gt;0,I2-0.2,I2),"")</f>
        <v>8</v>
      </c>
      <c r="K2" s="6">
        <v>2.5</v>
      </c>
    </row>
    <row r="3" spans="1:15" ht="30" customHeight="1" x14ac:dyDescent="0.2">
      <c r="A3" s="16">
        <v>45718</v>
      </c>
      <c r="B3" s="4"/>
      <c r="C3" s="4"/>
      <c r="D3" s="11" t="str">
        <f t="shared" ref="D3:D32" si="3">IF(E3&gt;17,"17.20","")</f>
        <v/>
      </c>
      <c r="E3" s="4"/>
      <c r="F3" s="4"/>
      <c r="G3" s="7" t="e">
        <f t="shared" si="0"/>
        <v>#VALUE!</v>
      </c>
      <c r="H3" s="8" t="str">
        <f t="shared" ref="H3:H29" si="4">IF(D3&lt;&gt;"",IF(MOD(G3,1)&lt;&gt;0,G3+0.2,G3),"")</f>
        <v/>
      </c>
      <c r="I3" s="6" t="str">
        <f t="shared" si="1"/>
        <v/>
      </c>
      <c r="J3" s="6" t="str">
        <f t="shared" si="2"/>
        <v/>
      </c>
      <c r="K3" s="6"/>
    </row>
    <row r="4" spans="1:15" ht="30" customHeight="1" x14ac:dyDescent="0.2">
      <c r="A4" s="17">
        <v>45719</v>
      </c>
      <c r="B4" s="4">
        <v>8</v>
      </c>
      <c r="C4" s="4">
        <v>17</v>
      </c>
      <c r="D4" s="11" t="str">
        <f t="shared" si="3"/>
        <v>17.20</v>
      </c>
      <c r="E4" s="4">
        <v>20.2</v>
      </c>
      <c r="F4" s="4"/>
      <c r="G4" s="7">
        <f t="shared" si="0"/>
        <v>3</v>
      </c>
      <c r="H4" s="8">
        <f t="shared" si="4"/>
        <v>3</v>
      </c>
      <c r="I4" s="6" t="str">
        <f t="shared" si="1"/>
        <v/>
      </c>
      <c r="J4" s="6" t="str">
        <f t="shared" si="2"/>
        <v/>
      </c>
      <c r="K4" s="6"/>
    </row>
    <row r="5" spans="1:15" ht="30" customHeight="1" x14ac:dyDescent="0.2">
      <c r="A5" s="17">
        <v>45720</v>
      </c>
      <c r="B5" s="4">
        <v>8</v>
      </c>
      <c r="C5" s="4">
        <v>17</v>
      </c>
      <c r="D5" s="11" t="str">
        <f t="shared" si="3"/>
        <v/>
      </c>
      <c r="E5" s="4">
        <v>17</v>
      </c>
      <c r="F5" s="4"/>
      <c r="G5" s="7" t="e">
        <f t="shared" si="0"/>
        <v>#VALUE!</v>
      </c>
      <c r="H5" s="8" t="str">
        <f t="shared" si="4"/>
        <v/>
      </c>
      <c r="I5" s="6" t="str">
        <f t="shared" si="1"/>
        <v/>
      </c>
      <c r="J5" s="6" t="str">
        <f t="shared" si="2"/>
        <v/>
      </c>
      <c r="K5" s="6"/>
    </row>
    <row r="6" spans="1:15" ht="30" customHeight="1" x14ac:dyDescent="0.2">
      <c r="A6" s="17">
        <v>45721</v>
      </c>
      <c r="B6" s="4">
        <v>8</v>
      </c>
      <c r="C6" s="4">
        <v>17</v>
      </c>
      <c r="D6" s="11" t="str">
        <f t="shared" si="3"/>
        <v>17.20</v>
      </c>
      <c r="E6" s="4">
        <v>20</v>
      </c>
      <c r="F6" s="4"/>
      <c r="G6" s="7">
        <f t="shared" si="0"/>
        <v>2.8000000000000007</v>
      </c>
      <c r="H6" s="8">
        <f t="shared" si="4"/>
        <v>3.0000000000000009</v>
      </c>
      <c r="I6" s="6" t="str">
        <f t="shared" si="1"/>
        <v/>
      </c>
      <c r="J6" s="6" t="str">
        <f t="shared" si="2"/>
        <v/>
      </c>
      <c r="K6" s="6"/>
    </row>
    <row r="7" spans="1:15" ht="30" customHeight="1" x14ac:dyDescent="0.2">
      <c r="A7" s="17">
        <v>45722</v>
      </c>
      <c r="B7" s="4">
        <v>8</v>
      </c>
      <c r="C7" s="4">
        <v>17</v>
      </c>
      <c r="D7" s="11" t="str">
        <f t="shared" si="3"/>
        <v>17.20</v>
      </c>
      <c r="E7" s="4">
        <v>20.2</v>
      </c>
      <c r="F7" s="4"/>
      <c r="G7" s="7">
        <f t="shared" si="0"/>
        <v>3</v>
      </c>
      <c r="H7" s="8">
        <f t="shared" si="4"/>
        <v>3</v>
      </c>
      <c r="I7" s="6" t="str">
        <f t="shared" si="1"/>
        <v/>
      </c>
      <c r="J7" s="6" t="str">
        <f t="shared" si="2"/>
        <v/>
      </c>
      <c r="K7" s="6"/>
    </row>
    <row r="8" spans="1:15" ht="30" customHeight="1" x14ac:dyDescent="0.2">
      <c r="A8" s="17">
        <v>45723</v>
      </c>
      <c r="B8" s="4">
        <v>8</v>
      </c>
      <c r="C8" s="4">
        <v>17</v>
      </c>
      <c r="D8" s="11" t="str">
        <f t="shared" si="3"/>
        <v/>
      </c>
      <c r="E8" s="6">
        <v>17</v>
      </c>
      <c r="F8" s="4"/>
      <c r="G8" s="7" t="e">
        <f t="shared" si="0"/>
        <v>#VALUE!</v>
      </c>
      <c r="H8" s="8" t="str">
        <f t="shared" si="4"/>
        <v/>
      </c>
      <c r="I8" s="6" t="str">
        <f t="shared" si="1"/>
        <v/>
      </c>
      <c r="J8" s="6" t="str">
        <f t="shared" si="2"/>
        <v/>
      </c>
      <c r="K8" s="6"/>
    </row>
    <row r="9" spans="1:15" ht="30" customHeight="1" x14ac:dyDescent="0.2">
      <c r="A9" s="16">
        <v>45724</v>
      </c>
      <c r="B9" s="4">
        <v>8</v>
      </c>
      <c r="C9" s="4">
        <v>17</v>
      </c>
      <c r="D9" s="11" t="str">
        <f t="shared" si="3"/>
        <v/>
      </c>
      <c r="E9" s="6"/>
      <c r="F9" s="4">
        <v>16</v>
      </c>
      <c r="G9" s="7" t="e">
        <f t="shared" si="0"/>
        <v>#VALUE!</v>
      </c>
      <c r="H9" s="8" t="str">
        <f t="shared" si="4"/>
        <v/>
      </c>
      <c r="I9" s="6">
        <f t="shared" si="1"/>
        <v>7</v>
      </c>
      <c r="J9" s="6">
        <f t="shared" si="2"/>
        <v>7</v>
      </c>
      <c r="K9" s="6"/>
    </row>
    <row r="10" spans="1:15" ht="30" customHeight="1" x14ac:dyDescent="0.2">
      <c r="A10" s="16">
        <v>45725</v>
      </c>
      <c r="B10" s="4"/>
      <c r="C10" s="4"/>
      <c r="D10" s="11" t="str">
        <f t="shared" si="3"/>
        <v/>
      </c>
      <c r="E10" s="4"/>
      <c r="F10" s="4"/>
      <c r="G10" s="13" t="e">
        <f t="shared" si="0"/>
        <v>#VALUE!</v>
      </c>
      <c r="H10" s="8" t="str">
        <f t="shared" si="4"/>
        <v/>
      </c>
      <c r="I10" s="13" t="str">
        <f t="shared" si="1"/>
        <v/>
      </c>
      <c r="J10" s="13" t="str">
        <f t="shared" si="2"/>
        <v/>
      </c>
      <c r="K10" s="6"/>
    </row>
    <row r="11" spans="1:15" ht="30" customHeight="1" x14ac:dyDescent="0.2">
      <c r="A11" s="17">
        <v>45726</v>
      </c>
      <c r="B11" s="4">
        <v>8</v>
      </c>
      <c r="C11" s="4">
        <v>17</v>
      </c>
      <c r="D11" s="11" t="str">
        <f t="shared" si="3"/>
        <v>17.20</v>
      </c>
      <c r="E11" s="4">
        <v>19.5</v>
      </c>
      <c r="F11" s="4"/>
      <c r="G11" s="7">
        <f t="shared" si="0"/>
        <v>2.3000000000000007</v>
      </c>
      <c r="H11" s="8">
        <f t="shared" si="4"/>
        <v>2.5000000000000009</v>
      </c>
      <c r="I11" s="6" t="str">
        <f t="shared" si="1"/>
        <v/>
      </c>
      <c r="J11" s="6" t="str">
        <f t="shared" si="2"/>
        <v/>
      </c>
      <c r="K11" s="6"/>
    </row>
    <row r="12" spans="1:15" ht="30" customHeight="1" x14ac:dyDescent="0.2">
      <c r="A12" s="17">
        <v>45727</v>
      </c>
      <c r="B12" s="4">
        <v>8</v>
      </c>
      <c r="C12" s="4">
        <v>17</v>
      </c>
      <c r="D12" s="11" t="str">
        <f t="shared" si="3"/>
        <v>17.20</v>
      </c>
      <c r="E12" s="4">
        <v>19.5</v>
      </c>
      <c r="F12" s="4"/>
      <c r="G12" s="7">
        <f t="shared" si="0"/>
        <v>2.3000000000000007</v>
      </c>
      <c r="H12" s="8">
        <f t="shared" si="4"/>
        <v>2.5000000000000009</v>
      </c>
      <c r="I12" s="6" t="str">
        <f t="shared" si="1"/>
        <v/>
      </c>
      <c r="J12" s="6" t="str">
        <f t="shared" si="2"/>
        <v/>
      </c>
      <c r="K12" s="6"/>
    </row>
    <row r="13" spans="1:15" ht="30" customHeight="1" x14ac:dyDescent="0.2">
      <c r="A13" s="17">
        <v>45728</v>
      </c>
      <c r="B13" s="4">
        <v>8</v>
      </c>
      <c r="C13" s="4">
        <v>17</v>
      </c>
      <c r="D13" s="11" t="str">
        <f t="shared" si="3"/>
        <v/>
      </c>
      <c r="E13" s="4">
        <v>17</v>
      </c>
      <c r="F13" s="4"/>
      <c r="G13" s="7" t="e">
        <f t="shared" si="0"/>
        <v>#VALUE!</v>
      </c>
      <c r="H13" s="8" t="str">
        <f t="shared" si="4"/>
        <v/>
      </c>
      <c r="I13" s="6" t="str">
        <f t="shared" si="1"/>
        <v/>
      </c>
      <c r="J13" s="6" t="str">
        <f t="shared" si="2"/>
        <v/>
      </c>
      <c r="K13" s="6"/>
    </row>
    <row r="14" spans="1:15" ht="30" customHeight="1" x14ac:dyDescent="0.2">
      <c r="A14" s="17">
        <v>45729</v>
      </c>
      <c r="B14" s="4">
        <v>8</v>
      </c>
      <c r="C14" s="4">
        <v>17</v>
      </c>
      <c r="D14" s="11" t="str">
        <f t="shared" si="3"/>
        <v>17.20</v>
      </c>
      <c r="E14" s="4">
        <v>20.2</v>
      </c>
      <c r="F14" s="4"/>
      <c r="G14" s="7">
        <f t="shared" si="0"/>
        <v>3</v>
      </c>
      <c r="H14" s="8">
        <f t="shared" si="4"/>
        <v>3</v>
      </c>
      <c r="I14" s="6" t="str">
        <f t="shared" si="1"/>
        <v/>
      </c>
      <c r="J14" s="6" t="str">
        <f t="shared" si="2"/>
        <v/>
      </c>
      <c r="K14" s="6"/>
    </row>
    <row r="15" spans="1:15" ht="30" customHeight="1" x14ac:dyDescent="0.2">
      <c r="A15" s="17">
        <v>45730</v>
      </c>
      <c r="B15" s="4">
        <v>8</v>
      </c>
      <c r="C15" s="4">
        <v>17</v>
      </c>
      <c r="D15" s="11" t="str">
        <f t="shared" si="3"/>
        <v>17.20</v>
      </c>
      <c r="E15" s="6">
        <v>19.2</v>
      </c>
      <c r="F15" s="4"/>
      <c r="G15" s="7">
        <f t="shared" si="0"/>
        <v>2</v>
      </c>
      <c r="H15" s="8">
        <f t="shared" si="4"/>
        <v>2</v>
      </c>
      <c r="I15" s="6" t="str">
        <f t="shared" si="1"/>
        <v/>
      </c>
      <c r="J15" s="6" t="str">
        <f t="shared" si="2"/>
        <v/>
      </c>
      <c r="K15" s="6"/>
    </row>
    <row r="16" spans="1:15" ht="30" customHeight="1" x14ac:dyDescent="0.2">
      <c r="A16" s="16">
        <v>45731</v>
      </c>
      <c r="B16" s="4"/>
      <c r="C16" s="4"/>
      <c r="D16" s="11" t="str">
        <f t="shared" si="3"/>
        <v/>
      </c>
      <c r="E16" s="4"/>
      <c r="F16" s="4"/>
      <c r="G16" s="7" t="e">
        <f t="shared" si="0"/>
        <v>#VALUE!</v>
      </c>
      <c r="H16" s="8" t="str">
        <f t="shared" si="4"/>
        <v/>
      </c>
      <c r="I16" s="6" t="str">
        <f t="shared" si="1"/>
        <v/>
      </c>
      <c r="J16" s="6" t="str">
        <f t="shared" si="2"/>
        <v/>
      </c>
      <c r="K16" s="6"/>
      <c r="L16" s="27" t="s">
        <v>12</v>
      </c>
      <c r="M16" s="28"/>
      <c r="N16" s="28"/>
      <c r="O16" s="28"/>
    </row>
    <row r="17" spans="1:17" ht="30" customHeight="1" x14ac:dyDescent="0.2">
      <c r="A17" s="16">
        <v>45732</v>
      </c>
      <c r="B17" s="4"/>
      <c r="C17" s="4"/>
      <c r="D17" s="11" t="str">
        <f t="shared" si="3"/>
        <v/>
      </c>
      <c r="E17" s="4"/>
      <c r="F17" s="4"/>
      <c r="G17" s="7" t="e">
        <f t="shared" si="0"/>
        <v>#VALUE!</v>
      </c>
      <c r="H17" s="8" t="str">
        <f t="shared" si="4"/>
        <v/>
      </c>
      <c r="I17" s="6" t="str">
        <f>IF(F17&lt;&gt;"",(F17-B17)-1,"")</f>
        <v/>
      </c>
      <c r="J17" s="6" t="str">
        <f>IF(I17&lt;&gt;"",IF(MOD(I17,1)&lt;&gt;0,I17-0.2,I17),"")</f>
        <v/>
      </c>
      <c r="K17" s="6"/>
      <c r="L17" s="25" t="s">
        <v>8</v>
      </c>
      <c r="M17" s="2" t="s">
        <v>9</v>
      </c>
      <c r="N17" s="2" t="s">
        <v>10</v>
      </c>
      <c r="O17" s="2" t="s">
        <v>14</v>
      </c>
    </row>
    <row r="18" spans="1:17" ht="30" customHeight="1" x14ac:dyDescent="0.2">
      <c r="A18" s="17">
        <v>45733</v>
      </c>
      <c r="B18" s="4"/>
      <c r="C18" s="4"/>
      <c r="D18" s="11" t="str">
        <f t="shared" si="3"/>
        <v/>
      </c>
      <c r="E18" s="4"/>
      <c r="F18" s="4"/>
      <c r="G18" s="7" t="e">
        <f t="shared" si="0"/>
        <v>#VALUE!</v>
      </c>
      <c r="H18" s="8" t="str">
        <f t="shared" si="4"/>
        <v/>
      </c>
      <c r="I18" s="6" t="str">
        <f t="shared" si="1"/>
        <v/>
      </c>
      <c r="J18" s="6" t="str">
        <f t="shared" ref="J18:J29" si="5">IF(I18&lt;&gt;"",IF(MOD(I18,1)&lt;&gt;0,I18-0.2,I18),"")</f>
        <v/>
      </c>
      <c r="K18" s="6"/>
      <c r="L18" s="26"/>
      <c r="M18" s="8">
        <f>SUM(Jan.25!H17:H32)+SUM(H2:H16)</f>
        <v>35</v>
      </c>
      <c r="N18" s="6">
        <f>SUM(Jan.25!J17:J32)+SUM(Mar.25!J2:J16)</f>
        <v>21.5</v>
      </c>
      <c r="O18" s="6">
        <f>SUM(Feb.25!K17:K32)+SUM(Mar.25!K2:K16)</f>
        <v>5</v>
      </c>
      <c r="Q18" s="9"/>
    </row>
    <row r="19" spans="1:17" ht="30" customHeight="1" x14ac:dyDescent="0.2">
      <c r="A19" s="17">
        <v>45734</v>
      </c>
      <c r="B19" s="4"/>
      <c r="C19" s="4"/>
      <c r="D19" s="11" t="str">
        <f t="shared" si="3"/>
        <v/>
      </c>
      <c r="E19" s="4"/>
      <c r="F19" s="4"/>
      <c r="G19" s="7" t="e">
        <f t="shared" si="0"/>
        <v>#VALUE!</v>
      </c>
      <c r="H19" s="8" t="str">
        <f t="shared" si="4"/>
        <v/>
      </c>
      <c r="I19" s="6" t="str">
        <f t="shared" si="1"/>
        <v/>
      </c>
      <c r="J19" s="6" t="str">
        <f t="shared" si="5"/>
        <v/>
      </c>
      <c r="K19" s="6"/>
      <c r="M19" s="14"/>
      <c r="N19" s="14"/>
      <c r="O19" s="14"/>
    </row>
    <row r="20" spans="1:17" ht="30" customHeight="1" x14ac:dyDescent="0.2">
      <c r="A20" s="17">
        <v>45735</v>
      </c>
      <c r="B20" s="4"/>
      <c r="C20" s="4"/>
      <c r="D20" s="11" t="str">
        <f t="shared" si="3"/>
        <v/>
      </c>
      <c r="E20" s="4"/>
      <c r="F20" s="4"/>
      <c r="G20" s="7" t="e">
        <f t="shared" si="0"/>
        <v>#VALUE!</v>
      </c>
      <c r="H20" s="8" t="str">
        <f t="shared" si="4"/>
        <v/>
      </c>
      <c r="I20" s="6" t="str">
        <f t="shared" si="1"/>
        <v/>
      </c>
      <c r="J20" s="6" t="str">
        <f t="shared" si="5"/>
        <v/>
      </c>
      <c r="K20" s="6"/>
    </row>
    <row r="21" spans="1:17" ht="30" customHeight="1" x14ac:dyDescent="0.2">
      <c r="A21" s="17">
        <v>45736</v>
      </c>
      <c r="B21" s="4"/>
      <c r="C21" s="4"/>
      <c r="D21" s="11" t="str">
        <f t="shared" si="3"/>
        <v/>
      </c>
      <c r="E21" s="4"/>
      <c r="F21" s="4"/>
      <c r="G21" s="7" t="e">
        <f t="shared" si="0"/>
        <v>#VALUE!</v>
      </c>
      <c r="H21" s="8" t="str">
        <f t="shared" si="4"/>
        <v/>
      </c>
      <c r="I21" s="6" t="str">
        <f t="shared" si="1"/>
        <v/>
      </c>
      <c r="J21" s="6" t="str">
        <f t="shared" si="5"/>
        <v/>
      </c>
      <c r="K21" s="6"/>
    </row>
    <row r="22" spans="1:17" ht="30" customHeight="1" x14ac:dyDescent="0.2">
      <c r="A22" s="17">
        <v>45737</v>
      </c>
      <c r="B22" s="4"/>
      <c r="C22" s="4"/>
      <c r="D22" s="11" t="str">
        <f t="shared" si="3"/>
        <v/>
      </c>
      <c r="E22" s="4"/>
      <c r="F22" s="4"/>
      <c r="G22" s="7" t="e">
        <f t="shared" si="0"/>
        <v>#VALUE!</v>
      </c>
      <c r="H22" s="8" t="str">
        <f t="shared" si="4"/>
        <v/>
      </c>
      <c r="I22" s="6" t="str">
        <f t="shared" si="1"/>
        <v/>
      </c>
      <c r="J22" s="6" t="str">
        <f t="shared" si="5"/>
        <v/>
      </c>
      <c r="K22" s="6"/>
    </row>
    <row r="23" spans="1:17" ht="30" customHeight="1" x14ac:dyDescent="0.2">
      <c r="A23" s="16">
        <v>45738</v>
      </c>
      <c r="B23" s="4"/>
      <c r="C23" s="4"/>
      <c r="D23" s="11" t="str">
        <f t="shared" si="3"/>
        <v/>
      </c>
      <c r="E23" s="4"/>
      <c r="F23" s="4"/>
      <c r="G23" s="7" t="e">
        <f t="shared" si="0"/>
        <v>#VALUE!</v>
      </c>
      <c r="H23" s="8" t="str">
        <f t="shared" si="4"/>
        <v/>
      </c>
      <c r="I23" s="6" t="str">
        <f t="shared" si="1"/>
        <v/>
      </c>
      <c r="J23" s="6" t="str">
        <f t="shared" si="5"/>
        <v/>
      </c>
      <c r="K23" s="6"/>
    </row>
    <row r="24" spans="1:17" ht="30" customHeight="1" x14ac:dyDescent="0.2">
      <c r="A24" s="16">
        <v>45739</v>
      </c>
      <c r="B24" s="4"/>
      <c r="C24" s="4"/>
      <c r="D24" s="11" t="str">
        <f t="shared" si="3"/>
        <v/>
      </c>
      <c r="E24" s="4"/>
      <c r="F24" s="4"/>
      <c r="G24" s="7" t="e">
        <f t="shared" si="0"/>
        <v>#VALUE!</v>
      </c>
      <c r="H24" s="8" t="str">
        <f t="shared" si="4"/>
        <v/>
      </c>
      <c r="I24" s="6" t="str">
        <f t="shared" si="1"/>
        <v/>
      </c>
      <c r="J24" s="6" t="str">
        <f t="shared" si="5"/>
        <v/>
      </c>
      <c r="K24" s="6"/>
    </row>
    <row r="25" spans="1:17" ht="30" customHeight="1" x14ac:dyDescent="0.2">
      <c r="A25" s="17">
        <v>45740</v>
      </c>
      <c r="B25" s="4"/>
      <c r="C25" s="4"/>
      <c r="D25" s="11" t="str">
        <f t="shared" si="3"/>
        <v/>
      </c>
      <c r="E25" s="4"/>
      <c r="F25" s="4"/>
      <c r="G25" s="7" t="e">
        <f t="shared" si="0"/>
        <v>#VALUE!</v>
      </c>
      <c r="H25" s="8" t="str">
        <f t="shared" si="4"/>
        <v/>
      </c>
      <c r="I25" s="6" t="str">
        <f t="shared" si="1"/>
        <v/>
      </c>
      <c r="J25" s="6" t="str">
        <f t="shared" si="5"/>
        <v/>
      </c>
      <c r="K25" s="6"/>
    </row>
    <row r="26" spans="1:17" ht="30" customHeight="1" x14ac:dyDescent="0.2">
      <c r="A26" s="17">
        <v>45741</v>
      </c>
      <c r="B26" s="4"/>
      <c r="C26" s="4"/>
      <c r="D26" s="11" t="str">
        <f t="shared" si="3"/>
        <v/>
      </c>
      <c r="E26" s="4"/>
      <c r="F26" s="4"/>
      <c r="G26" s="7" t="e">
        <f t="shared" si="0"/>
        <v>#VALUE!</v>
      </c>
      <c r="H26" s="8" t="str">
        <f t="shared" si="4"/>
        <v/>
      </c>
      <c r="I26" s="6" t="str">
        <f t="shared" si="1"/>
        <v/>
      </c>
      <c r="J26" s="6" t="str">
        <f t="shared" si="5"/>
        <v/>
      </c>
      <c r="K26" s="6"/>
    </row>
    <row r="27" spans="1:17" ht="30" customHeight="1" x14ac:dyDescent="0.2">
      <c r="A27" s="17">
        <v>45742</v>
      </c>
      <c r="B27" s="4"/>
      <c r="C27" s="4"/>
      <c r="D27" s="11" t="str">
        <f t="shared" si="3"/>
        <v/>
      </c>
      <c r="E27" s="4"/>
      <c r="F27" s="4"/>
      <c r="G27" s="7" t="e">
        <f t="shared" si="0"/>
        <v>#VALUE!</v>
      </c>
      <c r="H27" s="8" t="str">
        <f t="shared" si="4"/>
        <v/>
      </c>
      <c r="I27" s="6" t="str">
        <f t="shared" si="1"/>
        <v/>
      </c>
      <c r="J27" s="6" t="str">
        <f t="shared" si="5"/>
        <v/>
      </c>
      <c r="K27" s="6"/>
    </row>
    <row r="28" spans="1:17" ht="30" customHeight="1" x14ac:dyDescent="0.2">
      <c r="A28" s="17">
        <v>45743</v>
      </c>
      <c r="B28" s="4"/>
      <c r="C28" s="4"/>
      <c r="D28" s="11" t="str">
        <f t="shared" si="3"/>
        <v/>
      </c>
      <c r="E28" s="4"/>
      <c r="F28" s="4"/>
      <c r="G28" s="7" t="e">
        <f t="shared" si="0"/>
        <v>#VALUE!</v>
      </c>
      <c r="H28" s="8" t="str">
        <f t="shared" si="4"/>
        <v/>
      </c>
      <c r="I28" s="6" t="str">
        <f t="shared" si="1"/>
        <v/>
      </c>
      <c r="J28" s="6" t="str">
        <f t="shared" si="5"/>
        <v/>
      </c>
      <c r="K28" s="6"/>
    </row>
    <row r="29" spans="1:17" ht="30" customHeight="1" x14ac:dyDescent="0.2">
      <c r="A29" s="17">
        <v>45744</v>
      </c>
      <c r="B29" s="4"/>
      <c r="C29" s="4"/>
      <c r="D29" s="11" t="str">
        <f t="shared" si="3"/>
        <v/>
      </c>
      <c r="E29" s="4"/>
      <c r="F29" s="4"/>
      <c r="G29" s="7" t="e">
        <f t="shared" si="0"/>
        <v>#VALUE!</v>
      </c>
      <c r="H29" s="8" t="str">
        <f t="shared" si="4"/>
        <v/>
      </c>
      <c r="I29" s="6" t="str">
        <f t="shared" si="1"/>
        <v/>
      </c>
      <c r="J29" s="6" t="str">
        <f t="shared" si="5"/>
        <v/>
      </c>
      <c r="K29" s="6"/>
    </row>
    <row r="30" spans="1:17" ht="30" customHeight="1" x14ac:dyDescent="0.2">
      <c r="A30" s="16">
        <v>45745</v>
      </c>
      <c r="B30" s="4"/>
      <c r="C30" s="4"/>
      <c r="D30" s="11" t="str">
        <f t="shared" si="3"/>
        <v/>
      </c>
      <c r="E30" s="4"/>
      <c r="F30" s="4"/>
      <c r="G30" s="7"/>
      <c r="H30" s="8"/>
      <c r="I30" s="6"/>
      <c r="J30" s="6"/>
      <c r="K30" s="6"/>
    </row>
    <row r="31" spans="1:17" ht="30" customHeight="1" x14ac:dyDescent="0.2">
      <c r="A31" s="16">
        <v>45746</v>
      </c>
      <c r="B31" s="4"/>
      <c r="C31" s="4"/>
      <c r="D31" s="11" t="str">
        <f t="shared" si="3"/>
        <v/>
      </c>
      <c r="E31" s="4"/>
      <c r="F31" s="4"/>
      <c r="G31" s="7"/>
      <c r="H31" s="8"/>
      <c r="I31" s="6"/>
      <c r="J31" s="6"/>
      <c r="K31" s="6"/>
    </row>
    <row r="32" spans="1:17" ht="30" customHeight="1" x14ac:dyDescent="0.2">
      <c r="A32" s="17">
        <v>45747</v>
      </c>
      <c r="B32" s="4"/>
      <c r="C32" s="4"/>
      <c r="D32" s="11" t="str">
        <f t="shared" si="3"/>
        <v/>
      </c>
      <c r="E32" s="4"/>
      <c r="F32" s="4"/>
      <c r="G32" s="7"/>
      <c r="H32" s="8"/>
      <c r="I32" s="6"/>
      <c r="J32" s="6"/>
      <c r="K32" s="6"/>
    </row>
    <row r="33" spans="1:3" ht="30" customHeight="1" x14ac:dyDescent="0.2"/>
    <row r="34" spans="1:3" ht="30" customHeight="1" x14ac:dyDescent="0.2">
      <c r="A34" s="14">
        <f>M18*173.07</f>
        <v>6057.45</v>
      </c>
      <c r="B34" s="14">
        <f>N18*115.38</f>
        <v>2480.67</v>
      </c>
      <c r="C34" s="14">
        <f>A34+B34</f>
        <v>8538.119999999999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6:O16"/>
    <mergeCell ref="L17:L1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4EAE-77D0-4E62-9761-4BA1857F5875}">
  <dimension ref="A1:Q437"/>
  <sheetViews>
    <sheetView zoomScaleNormal="100" workbookViewId="0">
      <pane ySplit="1" topLeftCell="A23" activePane="bottomLeft" state="frozen"/>
      <selection pane="bottomLeft" activeCell="M18" sqref="M18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5" width="9.75" style="1" bestFit="1" customWidth="1"/>
    <col min="16" max="16384" width="9" style="1"/>
  </cols>
  <sheetData>
    <row r="1" spans="1:15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  <c r="K1" s="10" t="s">
        <v>13</v>
      </c>
    </row>
    <row r="2" spans="1:15" ht="30" customHeight="1" x14ac:dyDescent="0.2">
      <c r="A2" s="18">
        <v>45931</v>
      </c>
      <c r="B2" s="4"/>
      <c r="C2" s="4"/>
      <c r="D2" s="11" t="str">
        <f>IF(E2&gt;17,"17.20","")</f>
        <v/>
      </c>
      <c r="E2" s="6"/>
      <c r="F2" s="4"/>
      <c r="G2" s="7" t="e">
        <f t="shared" ref="G2:G29" si="0">E2-D2</f>
        <v>#VALUE!</v>
      </c>
      <c r="H2" s="8" t="str">
        <f>IF(D2&lt;&gt;"",IF(MOD(G2,1)&lt;&gt;0,G2+0.2,G2),"")</f>
        <v/>
      </c>
      <c r="I2" s="6" t="str">
        <f t="shared" ref="I2:I29" si="1">IF(F2&lt;&gt;"",(F2-B2)-1,"")</f>
        <v/>
      </c>
      <c r="J2" s="6" t="str">
        <f t="shared" ref="J2:J16" si="2">IF(I2&lt;&gt;"",IF(MOD(I2,1)&lt;&gt;0,I2-0.2,I2),"")</f>
        <v/>
      </c>
      <c r="K2" s="6"/>
    </row>
    <row r="3" spans="1:15" ht="30" customHeight="1" x14ac:dyDescent="0.2">
      <c r="A3" s="18">
        <v>45932</v>
      </c>
      <c r="B3" s="4"/>
      <c r="C3" s="4"/>
      <c r="D3" s="11" t="str">
        <f t="shared" ref="D3:D32" si="3">IF(E3&gt;17,"17.20","")</f>
        <v/>
      </c>
      <c r="E3" s="4"/>
      <c r="F3" s="4"/>
      <c r="G3" s="7" t="e">
        <f t="shared" si="0"/>
        <v>#VALUE!</v>
      </c>
      <c r="H3" s="8" t="str">
        <f t="shared" ref="H3:H31" si="4">IF(D3&lt;&gt;"",IF(MOD(G3,1)&lt;&gt;0,G3+0.2,G3),"")</f>
        <v/>
      </c>
      <c r="I3" s="6" t="str">
        <f t="shared" si="1"/>
        <v/>
      </c>
      <c r="J3" s="6" t="str">
        <f t="shared" si="2"/>
        <v/>
      </c>
      <c r="K3" s="6"/>
    </row>
    <row r="4" spans="1:15" ht="30" customHeight="1" x14ac:dyDescent="0.2">
      <c r="A4" s="18">
        <v>45933</v>
      </c>
      <c r="B4" s="4"/>
      <c r="C4" s="4"/>
      <c r="D4" s="11" t="str">
        <f t="shared" si="3"/>
        <v/>
      </c>
      <c r="E4" s="4"/>
      <c r="F4" s="4"/>
      <c r="G4" s="7" t="e">
        <f t="shared" si="0"/>
        <v>#VALUE!</v>
      </c>
      <c r="H4" s="8" t="str">
        <f t="shared" si="4"/>
        <v/>
      </c>
      <c r="I4" s="6" t="str">
        <f t="shared" si="1"/>
        <v/>
      </c>
      <c r="J4" s="6" t="str">
        <f t="shared" si="2"/>
        <v/>
      </c>
      <c r="K4" s="6"/>
    </row>
    <row r="5" spans="1:15" ht="30" customHeight="1" x14ac:dyDescent="0.2">
      <c r="A5" s="16">
        <v>45934</v>
      </c>
      <c r="B5" s="4"/>
      <c r="C5" s="4"/>
      <c r="D5" s="11" t="str">
        <f t="shared" si="3"/>
        <v/>
      </c>
      <c r="E5" s="4"/>
      <c r="F5" s="4"/>
      <c r="G5" s="7" t="e">
        <f t="shared" si="0"/>
        <v>#VALUE!</v>
      </c>
      <c r="H5" s="8" t="str">
        <f t="shared" si="4"/>
        <v/>
      </c>
      <c r="I5" s="6" t="str">
        <f t="shared" si="1"/>
        <v/>
      </c>
      <c r="J5" s="6" t="str">
        <f t="shared" si="2"/>
        <v/>
      </c>
      <c r="K5" s="6"/>
    </row>
    <row r="6" spans="1:15" ht="30" customHeight="1" x14ac:dyDescent="0.2">
      <c r="A6" s="16">
        <v>45935</v>
      </c>
      <c r="B6" s="4"/>
      <c r="C6" s="4"/>
      <c r="D6" s="11" t="str">
        <f t="shared" si="3"/>
        <v/>
      </c>
      <c r="E6" s="4"/>
      <c r="F6" s="4"/>
      <c r="G6" s="7" t="e">
        <f t="shared" si="0"/>
        <v>#VALUE!</v>
      </c>
      <c r="H6" s="8" t="str">
        <f t="shared" si="4"/>
        <v/>
      </c>
      <c r="I6" s="6" t="str">
        <f t="shared" si="1"/>
        <v/>
      </c>
      <c r="J6" s="6" t="str">
        <f t="shared" si="2"/>
        <v/>
      </c>
      <c r="K6" s="6"/>
    </row>
    <row r="7" spans="1:15" ht="30" customHeight="1" x14ac:dyDescent="0.2">
      <c r="A7" s="18">
        <v>45936</v>
      </c>
      <c r="B7" s="4"/>
      <c r="C7" s="4"/>
      <c r="D7" s="11" t="str">
        <f t="shared" si="3"/>
        <v/>
      </c>
      <c r="E7" s="4"/>
      <c r="F7" s="4"/>
      <c r="G7" s="7" t="e">
        <f t="shared" si="0"/>
        <v>#VALUE!</v>
      </c>
      <c r="H7" s="8" t="str">
        <f t="shared" si="4"/>
        <v/>
      </c>
      <c r="I7" s="6" t="str">
        <f t="shared" si="1"/>
        <v/>
      </c>
      <c r="J7" s="6" t="str">
        <f t="shared" si="2"/>
        <v/>
      </c>
      <c r="K7" s="6"/>
    </row>
    <row r="8" spans="1:15" ht="30" customHeight="1" x14ac:dyDescent="0.2">
      <c r="A8" s="18">
        <v>45937</v>
      </c>
      <c r="B8" s="4"/>
      <c r="C8" s="4"/>
      <c r="D8" s="11" t="str">
        <f t="shared" si="3"/>
        <v/>
      </c>
      <c r="E8" s="6"/>
      <c r="F8" s="4"/>
      <c r="G8" s="7" t="e">
        <f t="shared" si="0"/>
        <v>#VALUE!</v>
      </c>
      <c r="H8" s="8" t="str">
        <f t="shared" si="4"/>
        <v/>
      </c>
      <c r="I8" s="6" t="str">
        <f t="shared" si="1"/>
        <v/>
      </c>
      <c r="J8" s="6" t="str">
        <f t="shared" si="2"/>
        <v/>
      </c>
      <c r="K8" s="6"/>
    </row>
    <row r="9" spans="1:15" ht="30" customHeight="1" x14ac:dyDescent="0.2">
      <c r="A9" s="18">
        <v>45938</v>
      </c>
      <c r="B9" s="4"/>
      <c r="C9" s="4"/>
      <c r="D9" s="11" t="str">
        <f t="shared" si="3"/>
        <v/>
      </c>
      <c r="E9" s="6"/>
      <c r="F9" s="4"/>
      <c r="G9" s="7" t="e">
        <f t="shared" si="0"/>
        <v>#VALUE!</v>
      </c>
      <c r="H9" s="8" t="str">
        <f t="shared" si="4"/>
        <v/>
      </c>
      <c r="I9" s="6" t="str">
        <f t="shared" si="1"/>
        <v/>
      </c>
      <c r="J9" s="6" t="str">
        <f t="shared" si="2"/>
        <v/>
      </c>
      <c r="K9" s="6"/>
    </row>
    <row r="10" spans="1:15" ht="30" customHeight="1" x14ac:dyDescent="0.2">
      <c r="A10" s="18">
        <v>45939</v>
      </c>
      <c r="B10" s="4"/>
      <c r="C10" s="4"/>
      <c r="D10" s="11" t="str">
        <f t="shared" si="3"/>
        <v/>
      </c>
      <c r="E10" s="4"/>
      <c r="F10" s="4"/>
      <c r="G10" s="13" t="e">
        <f t="shared" si="0"/>
        <v>#VALUE!</v>
      </c>
      <c r="H10" s="8" t="str">
        <f t="shared" si="4"/>
        <v/>
      </c>
      <c r="I10" s="13" t="str">
        <f t="shared" si="1"/>
        <v/>
      </c>
      <c r="J10" s="13" t="str">
        <f t="shared" si="2"/>
        <v/>
      </c>
      <c r="K10" s="6"/>
    </row>
    <row r="11" spans="1:15" ht="30" customHeight="1" x14ac:dyDescent="0.2">
      <c r="A11" s="18">
        <v>45940</v>
      </c>
      <c r="B11" s="4"/>
      <c r="C11" s="4"/>
      <c r="D11" s="11" t="str">
        <f t="shared" si="3"/>
        <v/>
      </c>
      <c r="E11" s="4"/>
      <c r="F11" s="4"/>
      <c r="G11" s="7" t="e">
        <f t="shared" si="0"/>
        <v>#VALUE!</v>
      </c>
      <c r="H11" s="8" t="str">
        <f t="shared" si="4"/>
        <v/>
      </c>
      <c r="I11" s="6" t="str">
        <f t="shared" si="1"/>
        <v/>
      </c>
      <c r="J11" s="6" t="str">
        <f t="shared" si="2"/>
        <v/>
      </c>
      <c r="K11" s="6"/>
    </row>
    <row r="12" spans="1:15" ht="30" customHeight="1" x14ac:dyDescent="0.2">
      <c r="A12" s="16">
        <v>45941</v>
      </c>
      <c r="B12" s="4"/>
      <c r="C12" s="4"/>
      <c r="D12" s="11" t="str">
        <f t="shared" si="3"/>
        <v/>
      </c>
      <c r="E12" s="4"/>
      <c r="F12" s="4"/>
      <c r="G12" s="7" t="e">
        <f t="shared" si="0"/>
        <v>#VALUE!</v>
      </c>
      <c r="H12" s="8" t="str">
        <f t="shared" si="4"/>
        <v/>
      </c>
      <c r="I12" s="6" t="str">
        <f t="shared" si="1"/>
        <v/>
      </c>
      <c r="J12" s="6" t="str">
        <f t="shared" si="2"/>
        <v/>
      </c>
      <c r="K12" s="6"/>
    </row>
    <row r="13" spans="1:15" ht="30" customHeight="1" x14ac:dyDescent="0.2">
      <c r="A13" s="16">
        <v>45942</v>
      </c>
      <c r="B13" s="4"/>
      <c r="C13" s="4"/>
      <c r="D13" s="11" t="str">
        <f t="shared" si="3"/>
        <v/>
      </c>
      <c r="E13" s="4"/>
      <c r="F13" s="4"/>
      <c r="G13" s="7" t="e">
        <f t="shared" si="0"/>
        <v>#VALUE!</v>
      </c>
      <c r="H13" s="8" t="str">
        <f t="shared" si="4"/>
        <v/>
      </c>
      <c r="I13" s="6" t="str">
        <f t="shared" si="1"/>
        <v/>
      </c>
      <c r="J13" s="6" t="str">
        <f t="shared" si="2"/>
        <v/>
      </c>
      <c r="K13" s="6"/>
    </row>
    <row r="14" spans="1:15" ht="30" customHeight="1" x14ac:dyDescent="0.2">
      <c r="A14" s="18">
        <v>45943</v>
      </c>
      <c r="B14" s="4"/>
      <c r="C14" s="4"/>
      <c r="D14" s="11" t="str">
        <f t="shared" si="3"/>
        <v/>
      </c>
      <c r="E14" s="4"/>
      <c r="F14" s="4"/>
      <c r="G14" s="7" t="e">
        <f t="shared" si="0"/>
        <v>#VALUE!</v>
      </c>
      <c r="H14" s="8" t="str">
        <f t="shared" si="4"/>
        <v/>
      </c>
      <c r="I14" s="6" t="str">
        <f t="shared" si="1"/>
        <v/>
      </c>
      <c r="J14" s="6" t="str">
        <f t="shared" si="2"/>
        <v/>
      </c>
      <c r="K14" s="6"/>
    </row>
    <row r="15" spans="1:15" ht="30" customHeight="1" x14ac:dyDescent="0.2">
      <c r="A15" s="18">
        <v>45944</v>
      </c>
      <c r="B15" s="4"/>
      <c r="C15" s="4"/>
      <c r="D15" s="11" t="str">
        <f t="shared" si="3"/>
        <v/>
      </c>
      <c r="E15" s="6"/>
      <c r="F15" s="4"/>
      <c r="G15" s="7" t="e">
        <f t="shared" si="0"/>
        <v>#VALUE!</v>
      </c>
      <c r="H15" s="8" t="str">
        <f t="shared" si="4"/>
        <v/>
      </c>
      <c r="I15" s="6" t="str">
        <f t="shared" si="1"/>
        <v/>
      </c>
      <c r="J15" s="6" t="str">
        <f t="shared" si="2"/>
        <v/>
      </c>
      <c r="K15" s="6"/>
    </row>
    <row r="16" spans="1:15" ht="30" customHeight="1" x14ac:dyDescent="0.2">
      <c r="A16" s="18">
        <v>45945</v>
      </c>
      <c r="B16" s="4"/>
      <c r="C16" s="4"/>
      <c r="D16" s="11" t="str">
        <f t="shared" si="3"/>
        <v/>
      </c>
      <c r="E16" s="4"/>
      <c r="F16" s="4"/>
      <c r="G16" s="7" t="e">
        <f t="shared" si="0"/>
        <v>#VALUE!</v>
      </c>
      <c r="H16" s="8" t="str">
        <f t="shared" si="4"/>
        <v/>
      </c>
      <c r="I16" s="6" t="str">
        <f t="shared" si="1"/>
        <v/>
      </c>
      <c r="J16" s="6" t="str">
        <f t="shared" si="2"/>
        <v/>
      </c>
      <c r="K16" s="6"/>
      <c r="L16" s="27" t="s">
        <v>12</v>
      </c>
      <c r="M16" s="28"/>
      <c r="N16" s="28"/>
      <c r="O16" s="28"/>
    </row>
    <row r="17" spans="1:17" ht="30" customHeight="1" x14ac:dyDescent="0.2">
      <c r="A17" s="18">
        <v>45946</v>
      </c>
      <c r="B17" s="4">
        <v>8</v>
      </c>
      <c r="C17" s="4">
        <v>17</v>
      </c>
      <c r="D17" s="11" t="str">
        <f t="shared" si="3"/>
        <v/>
      </c>
      <c r="E17" s="4">
        <v>17</v>
      </c>
      <c r="F17" s="4"/>
      <c r="G17" s="7" t="e">
        <f t="shared" si="0"/>
        <v>#VALUE!</v>
      </c>
      <c r="H17" s="8" t="str">
        <f t="shared" si="4"/>
        <v/>
      </c>
      <c r="I17" s="6" t="str">
        <f>IF(F17&lt;&gt;"",(F17-B17)-1,"")</f>
        <v/>
      </c>
      <c r="J17" s="6" t="str">
        <f>IF(I17&lt;&gt;"",IF(MOD(I17,1)&lt;&gt;0,I17-0.2,I17),"")</f>
        <v/>
      </c>
      <c r="K17" s="6"/>
      <c r="L17" s="25" t="s">
        <v>8</v>
      </c>
      <c r="M17" s="2" t="s">
        <v>9</v>
      </c>
      <c r="N17" s="2" t="s">
        <v>10</v>
      </c>
      <c r="O17" s="2" t="s">
        <v>14</v>
      </c>
    </row>
    <row r="18" spans="1:17" ht="30" customHeight="1" x14ac:dyDescent="0.2">
      <c r="A18" s="18">
        <v>45947</v>
      </c>
      <c r="B18" s="4">
        <v>8</v>
      </c>
      <c r="C18" s="4">
        <v>17</v>
      </c>
      <c r="D18" s="11" t="str">
        <f t="shared" si="3"/>
        <v>17.20</v>
      </c>
      <c r="E18" s="4">
        <v>20</v>
      </c>
      <c r="F18" s="4"/>
      <c r="G18" s="7">
        <f t="shared" si="0"/>
        <v>2.8000000000000007</v>
      </c>
      <c r="H18" s="8">
        <f t="shared" si="4"/>
        <v>3.0000000000000009</v>
      </c>
      <c r="I18" s="6" t="str">
        <f t="shared" si="1"/>
        <v/>
      </c>
      <c r="J18" s="6" t="str">
        <f t="shared" ref="J18:J29" si="5">IF(I18&lt;&gt;"",IF(MOD(I18,1)&lt;&gt;0,I18-0.2,I18),"")</f>
        <v/>
      </c>
      <c r="K18" s="6"/>
      <c r="L18" s="26"/>
      <c r="M18" s="8">
        <f>SUM(Jan.25!H17:H32)+SUM(H2:H16)</f>
        <v>16.000000000000004</v>
      </c>
      <c r="N18" s="6">
        <f>SUM(Jan.25!J17:J32)+SUM('Oct.25 '!J2:J16)</f>
        <v>6.4999999999999991</v>
      </c>
      <c r="O18" s="6">
        <f>SUM(Feb.25!K17:K32)+SUM('Oct.25 '!K2:K16)</f>
        <v>2.5</v>
      </c>
      <c r="Q18" s="9"/>
    </row>
    <row r="19" spans="1:17" ht="30" customHeight="1" x14ac:dyDescent="0.2">
      <c r="A19" s="16">
        <v>45948</v>
      </c>
      <c r="B19" s="4"/>
      <c r="C19" s="4"/>
      <c r="D19" s="11" t="str">
        <f t="shared" si="3"/>
        <v/>
      </c>
      <c r="E19" s="4"/>
      <c r="F19" s="4"/>
      <c r="G19" s="7" t="e">
        <f t="shared" si="0"/>
        <v>#VALUE!</v>
      </c>
      <c r="H19" s="8" t="str">
        <f t="shared" si="4"/>
        <v/>
      </c>
      <c r="I19" s="6" t="str">
        <f t="shared" si="1"/>
        <v/>
      </c>
      <c r="J19" s="6" t="str">
        <f t="shared" si="5"/>
        <v/>
      </c>
      <c r="K19" s="6"/>
      <c r="M19" s="14"/>
      <c r="N19" s="14"/>
      <c r="O19" s="14"/>
    </row>
    <row r="20" spans="1:17" ht="30" customHeight="1" x14ac:dyDescent="0.2">
      <c r="A20" s="16">
        <v>45949</v>
      </c>
      <c r="B20" s="4"/>
      <c r="C20" s="4"/>
      <c r="D20" s="11" t="str">
        <f t="shared" si="3"/>
        <v/>
      </c>
      <c r="E20" s="4"/>
      <c r="F20" s="4"/>
      <c r="G20" s="7" t="e">
        <f t="shared" si="0"/>
        <v>#VALUE!</v>
      </c>
      <c r="H20" s="8" t="str">
        <f t="shared" si="4"/>
        <v/>
      </c>
      <c r="I20" s="6" t="str">
        <f t="shared" si="1"/>
        <v/>
      </c>
      <c r="J20" s="6" t="str">
        <f t="shared" si="5"/>
        <v/>
      </c>
      <c r="K20" s="6"/>
    </row>
    <row r="21" spans="1:17" ht="30" customHeight="1" x14ac:dyDescent="0.2">
      <c r="A21" s="18">
        <v>45950</v>
      </c>
      <c r="B21" s="4">
        <v>8</v>
      </c>
      <c r="C21" s="4">
        <v>17</v>
      </c>
      <c r="D21" s="11" t="str">
        <f t="shared" si="3"/>
        <v>17.20</v>
      </c>
      <c r="E21" s="4">
        <v>18.5</v>
      </c>
      <c r="F21" s="4"/>
      <c r="G21" s="7">
        <f t="shared" si="0"/>
        <v>1.3000000000000007</v>
      </c>
      <c r="H21" s="8">
        <f t="shared" si="4"/>
        <v>1.5000000000000007</v>
      </c>
      <c r="I21" s="6" t="str">
        <f t="shared" si="1"/>
        <v/>
      </c>
      <c r="J21" s="6" t="str">
        <f t="shared" si="5"/>
        <v/>
      </c>
      <c r="K21" s="6"/>
    </row>
    <row r="22" spans="1:17" ht="30" customHeight="1" x14ac:dyDescent="0.2">
      <c r="A22" s="18">
        <v>45951</v>
      </c>
      <c r="B22" s="4">
        <v>8</v>
      </c>
      <c r="C22" s="4">
        <v>17</v>
      </c>
      <c r="D22" s="11" t="str">
        <f t="shared" si="3"/>
        <v>17.20</v>
      </c>
      <c r="E22" s="4">
        <v>19.5</v>
      </c>
      <c r="F22" s="4"/>
      <c r="G22" s="7">
        <f t="shared" si="0"/>
        <v>2.3000000000000007</v>
      </c>
      <c r="H22" s="8">
        <f t="shared" si="4"/>
        <v>2.5000000000000009</v>
      </c>
      <c r="I22" s="6" t="str">
        <f t="shared" si="1"/>
        <v/>
      </c>
      <c r="J22" s="6" t="str">
        <f t="shared" si="5"/>
        <v/>
      </c>
      <c r="K22" s="6"/>
    </row>
    <row r="23" spans="1:17" ht="30" customHeight="1" x14ac:dyDescent="0.2">
      <c r="A23" s="18">
        <v>45952</v>
      </c>
      <c r="B23" s="4">
        <v>8</v>
      </c>
      <c r="C23" s="4">
        <v>17</v>
      </c>
      <c r="D23" s="11" t="str">
        <f t="shared" si="3"/>
        <v/>
      </c>
      <c r="E23" s="4"/>
      <c r="F23" s="4"/>
      <c r="G23" s="7" t="e">
        <f t="shared" si="0"/>
        <v>#VALUE!</v>
      </c>
      <c r="H23" s="8" t="str">
        <f t="shared" si="4"/>
        <v/>
      </c>
      <c r="I23" s="6" t="str">
        <f t="shared" si="1"/>
        <v/>
      </c>
      <c r="J23" s="6" t="str">
        <f t="shared" si="5"/>
        <v/>
      </c>
      <c r="K23" s="6"/>
    </row>
    <row r="24" spans="1:17" ht="30" customHeight="1" x14ac:dyDescent="0.2">
      <c r="A24" s="18">
        <v>45953</v>
      </c>
      <c r="B24" s="4"/>
      <c r="C24" s="4">
        <v>17</v>
      </c>
      <c r="D24" s="11" t="str">
        <f t="shared" si="3"/>
        <v/>
      </c>
      <c r="E24" s="4"/>
      <c r="F24" s="4"/>
      <c r="G24" s="7" t="e">
        <f t="shared" si="0"/>
        <v>#VALUE!</v>
      </c>
      <c r="H24" s="8" t="str">
        <f t="shared" si="4"/>
        <v/>
      </c>
      <c r="I24" s="6" t="str">
        <f t="shared" si="1"/>
        <v/>
      </c>
      <c r="J24" s="6" t="str">
        <f t="shared" si="5"/>
        <v/>
      </c>
      <c r="K24" s="6"/>
    </row>
    <row r="25" spans="1:17" ht="30" customHeight="1" x14ac:dyDescent="0.2">
      <c r="A25" s="18">
        <v>45954</v>
      </c>
      <c r="B25" s="4">
        <v>8</v>
      </c>
      <c r="C25" s="4">
        <v>17</v>
      </c>
      <c r="D25" s="11" t="str">
        <f t="shared" si="3"/>
        <v>17.20</v>
      </c>
      <c r="E25" s="4">
        <v>19.2</v>
      </c>
      <c r="F25" s="4"/>
      <c r="G25" s="7">
        <f t="shared" si="0"/>
        <v>2</v>
      </c>
      <c r="H25" s="8">
        <f t="shared" si="4"/>
        <v>2</v>
      </c>
      <c r="I25" s="6" t="str">
        <f t="shared" si="1"/>
        <v/>
      </c>
      <c r="J25" s="6" t="str">
        <f t="shared" si="5"/>
        <v/>
      </c>
      <c r="K25" s="6"/>
    </row>
    <row r="26" spans="1:17" ht="30" customHeight="1" x14ac:dyDescent="0.2">
      <c r="A26" s="16">
        <v>45955</v>
      </c>
      <c r="B26" s="4"/>
      <c r="C26" s="4"/>
      <c r="D26" s="11" t="str">
        <f t="shared" si="3"/>
        <v/>
      </c>
      <c r="E26" s="4"/>
      <c r="F26" s="4"/>
      <c r="G26" s="7" t="e">
        <f t="shared" si="0"/>
        <v>#VALUE!</v>
      </c>
      <c r="H26" s="8" t="str">
        <f t="shared" si="4"/>
        <v/>
      </c>
      <c r="I26" s="6" t="str">
        <f t="shared" si="1"/>
        <v/>
      </c>
      <c r="J26" s="6" t="str">
        <f t="shared" si="5"/>
        <v/>
      </c>
      <c r="K26" s="6"/>
    </row>
    <row r="27" spans="1:17" ht="30" customHeight="1" x14ac:dyDescent="0.2">
      <c r="A27" s="16">
        <v>45956</v>
      </c>
      <c r="B27" s="4"/>
      <c r="C27" s="4"/>
      <c r="D27" s="11" t="str">
        <f t="shared" si="3"/>
        <v/>
      </c>
      <c r="E27" s="4"/>
      <c r="F27" s="4"/>
      <c r="G27" s="7" t="e">
        <f t="shared" si="0"/>
        <v>#VALUE!</v>
      </c>
      <c r="H27" s="8" t="str">
        <f t="shared" si="4"/>
        <v/>
      </c>
      <c r="I27" s="6" t="str">
        <f t="shared" si="1"/>
        <v/>
      </c>
      <c r="J27" s="6" t="str">
        <f t="shared" si="5"/>
        <v/>
      </c>
      <c r="K27" s="6"/>
    </row>
    <row r="28" spans="1:17" ht="30" customHeight="1" x14ac:dyDescent="0.2">
      <c r="A28" s="18">
        <v>45957</v>
      </c>
      <c r="B28" s="4">
        <v>8</v>
      </c>
      <c r="C28" s="4">
        <v>17</v>
      </c>
      <c r="D28" s="11" t="str">
        <f t="shared" si="3"/>
        <v>17.20</v>
      </c>
      <c r="E28" s="4">
        <v>19.5</v>
      </c>
      <c r="F28" s="4"/>
      <c r="G28" s="7">
        <f t="shared" si="0"/>
        <v>2.3000000000000007</v>
      </c>
      <c r="H28" s="8">
        <f t="shared" si="4"/>
        <v>2.5000000000000009</v>
      </c>
      <c r="I28" s="6" t="str">
        <f t="shared" si="1"/>
        <v/>
      </c>
      <c r="J28" s="6" t="str">
        <f t="shared" si="5"/>
        <v/>
      </c>
      <c r="K28" s="6"/>
    </row>
    <row r="29" spans="1:17" ht="30" customHeight="1" x14ac:dyDescent="0.2">
      <c r="A29" s="18">
        <v>45958</v>
      </c>
      <c r="B29" s="4">
        <v>8</v>
      </c>
      <c r="C29" s="4">
        <v>17</v>
      </c>
      <c r="D29" s="11" t="str">
        <f t="shared" si="3"/>
        <v>17.20</v>
      </c>
      <c r="E29" s="4">
        <v>19.5</v>
      </c>
      <c r="F29" s="4"/>
      <c r="G29" s="7">
        <f t="shared" si="0"/>
        <v>2.3000000000000007</v>
      </c>
      <c r="H29" s="8">
        <f t="shared" si="4"/>
        <v>2.5000000000000009</v>
      </c>
      <c r="I29" s="6" t="str">
        <f t="shared" si="1"/>
        <v/>
      </c>
      <c r="J29" s="6" t="str">
        <f t="shared" si="5"/>
        <v/>
      </c>
      <c r="K29" s="6"/>
    </row>
    <row r="30" spans="1:17" ht="30" customHeight="1" x14ac:dyDescent="0.2">
      <c r="A30" s="18">
        <v>45959</v>
      </c>
      <c r="B30" s="4">
        <v>8</v>
      </c>
      <c r="C30" s="4">
        <v>17</v>
      </c>
      <c r="D30" s="11" t="str">
        <f t="shared" si="3"/>
        <v/>
      </c>
      <c r="E30" s="4"/>
      <c r="F30" s="4"/>
      <c r="G30" s="7"/>
      <c r="H30" s="8" t="str">
        <f t="shared" si="4"/>
        <v/>
      </c>
      <c r="I30" s="6"/>
      <c r="J30" s="6"/>
      <c r="K30" s="6"/>
    </row>
    <row r="31" spans="1:17" ht="30" customHeight="1" x14ac:dyDescent="0.2">
      <c r="A31" s="18">
        <v>45960</v>
      </c>
      <c r="B31" s="4">
        <v>8</v>
      </c>
      <c r="C31" s="4">
        <v>17</v>
      </c>
      <c r="D31" s="11" t="str">
        <f t="shared" si="3"/>
        <v/>
      </c>
      <c r="E31" s="4"/>
      <c r="F31" s="4"/>
      <c r="G31" s="7"/>
      <c r="H31" s="8" t="str">
        <f t="shared" si="4"/>
        <v/>
      </c>
      <c r="I31" s="6"/>
      <c r="J31" s="6"/>
      <c r="K31" s="6"/>
    </row>
    <row r="32" spans="1:17" ht="30" customHeight="1" x14ac:dyDescent="0.2">
      <c r="A32" s="18">
        <v>45961</v>
      </c>
      <c r="B32" s="4">
        <v>8</v>
      </c>
      <c r="C32" s="4">
        <v>17</v>
      </c>
      <c r="D32" s="11" t="str">
        <f t="shared" si="3"/>
        <v>17.20</v>
      </c>
      <c r="E32" s="4">
        <v>19.2</v>
      </c>
      <c r="F32" s="4"/>
      <c r="G32" s="7"/>
      <c r="H32" s="8">
        <v>2</v>
      </c>
      <c r="I32" s="6"/>
      <c r="J32" s="6"/>
      <c r="K32" s="6"/>
    </row>
    <row r="33" spans="1:3" ht="30" customHeight="1" x14ac:dyDescent="0.2"/>
    <row r="34" spans="1:3" ht="30" customHeight="1" x14ac:dyDescent="0.2">
      <c r="A34" s="14">
        <f>M18*173.07</f>
        <v>2769.1200000000003</v>
      </c>
      <c r="B34" s="14">
        <f>N18*115.38</f>
        <v>749.96999999999991</v>
      </c>
      <c r="C34" s="14">
        <f>A34+B34</f>
        <v>3519.09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6:O16"/>
    <mergeCell ref="L17:L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934-6C72-4109-A7CB-05DDF9EF93A0}">
  <dimension ref="A1:Q437"/>
  <sheetViews>
    <sheetView zoomScaleNormal="100" workbookViewId="0">
      <pane ySplit="1" topLeftCell="A15" activePane="bottomLeft" state="frozen"/>
      <selection pane="bottomLeft" activeCell="E28" sqref="E28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5" width="9.75" style="1" bestFit="1" customWidth="1"/>
    <col min="16" max="16384" width="9" style="1"/>
  </cols>
  <sheetData>
    <row r="1" spans="1:15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  <c r="K1" s="10" t="s">
        <v>13</v>
      </c>
    </row>
    <row r="2" spans="1:15" ht="30" customHeight="1" x14ac:dyDescent="0.2">
      <c r="A2" s="16">
        <v>45962</v>
      </c>
      <c r="B2" s="4">
        <v>10.3</v>
      </c>
      <c r="C2" s="4">
        <v>17</v>
      </c>
      <c r="D2" s="11" t="str">
        <f>IF(E2&gt;17,"17.20","")</f>
        <v/>
      </c>
      <c r="E2" s="6"/>
      <c r="F2" s="4">
        <v>17</v>
      </c>
      <c r="G2" s="7" t="e">
        <f t="shared" ref="G2:G29" si="0">E2-D2</f>
        <v>#VALUE!</v>
      </c>
      <c r="H2" s="8" t="str">
        <f>IF(D2&lt;&gt;"",IF(MOD(G2,1)&lt;&gt;0,G2+0.2,G2),"")</f>
        <v/>
      </c>
      <c r="I2" s="6">
        <f t="shared" ref="I2:I29" si="1">IF(F2&lt;&gt;"",(F2-B2)-1,"")</f>
        <v>5.6999999999999993</v>
      </c>
      <c r="J2" s="6">
        <f t="shared" ref="J2:J16" si="2">IF(I2&lt;&gt;"",IF(MOD(I2,1)&lt;&gt;0,I2-0.2,I2),"")</f>
        <v>5.4999999999999991</v>
      </c>
      <c r="K2" s="6"/>
    </row>
    <row r="3" spans="1:15" ht="30" customHeight="1" x14ac:dyDescent="0.2">
      <c r="A3" s="16">
        <v>45963</v>
      </c>
      <c r="B3" s="4"/>
      <c r="C3" s="4"/>
      <c r="D3" s="11" t="str">
        <f t="shared" ref="D3:D32" si="3">IF(E3&gt;17,"17.20","")</f>
        <v/>
      </c>
      <c r="E3" s="4"/>
      <c r="F3" s="4"/>
      <c r="G3" s="7" t="e">
        <f t="shared" si="0"/>
        <v>#VALUE!</v>
      </c>
      <c r="H3" s="8" t="str">
        <f t="shared" ref="H3:H29" si="4">IF(D3&lt;&gt;"",IF(MOD(G3,1)&lt;&gt;0,G3+0.2,G3),"")</f>
        <v/>
      </c>
      <c r="I3" s="6" t="str">
        <f t="shared" si="1"/>
        <v/>
      </c>
      <c r="J3" s="6" t="str">
        <f t="shared" si="2"/>
        <v/>
      </c>
      <c r="K3" s="6"/>
    </row>
    <row r="4" spans="1:15" ht="30" customHeight="1" x14ac:dyDescent="0.2">
      <c r="A4" s="18">
        <v>45964</v>
      </c>
      <c r="B4" s="4">
        <v>8</v>
      </c>
      <c r="C4" s="4">
        <v>17</v>
      </c>
      <c r="D4" s="11" t="str">
        <f t="shared" si="3"/>
        <v>17.20</v>
      </c>
      <c r="E4" s="4">
        <v>19.5</v>
      </c>
      <c r="F4" s="4"/>
      <c r="G4" s="7">
        <f t="shared" si="0"/>
        <v>2.3000000000000007</v>
      </c>
      <c r="H4" s="8">
        <f t="shared" si="4"/>
        <v>2.5000000000000009</v>
      </c>
      <c r="I4" s="6" t="str">
        <f t="shared" si="1"/>
        <v/>
      </c>
      <c r="J4" s="6" t="str">
        <f t="shared" si="2"/>
        <v/>
      </c>
      <c r="K4" s="6"/>
    </row>
    <row r="5" spans="1:15" ht="30" customHeight="1" x14ac:dyDescent="0.2">
      <c r="A5" s="18">
        <v>45965</v>
      </c>
      <c r="B5" s="4">
        <v>8</v>
      </c>
      <c r="C5" s="4">
        <v>17</v>
      </c>
      <c r="D5" s="11" t="str">
        <f t="shared" si="3"/>
        <v>17.20</v>
      </c>
      <c r="E5" s="4">
        <v>20.2</v>
      </c>
      <c r="F5" s="4"/>
      <c r="G5" s="7">
        <f t="shared" si="0"/>
        <v>3</v>
      </c>
      <c r="H5" s="8">
        <f t="shared" si="4"/>
        <v>3</v>
      </c>
      <c r="I5" s="6" t="str">
        <f t="shared" si="1"/>
        <v/>
      </c>
      <c r="J5" s="6" t="str">
        <f t="shared" si="2"/>
        <v/>
      </c>
      <c r="K5" s="6"/>
    </row>
    <row r="6" spans="1:15" ht="30" customHeight="1" x14ac:dyDescent="0.2">
      <c r="A6" s="18">
        <v>45966</v>
      </c>
      <c r="B6" s="4">
        <v>8</v>
      </c>
      <c r="C6" s="4">
        <v>17</v>
      </c>
      <c r="D6" s="11" t="str">
        <f t="shared" si="3"/>
        <v/>
      </c>
      <c r="E6" s="4"/>
      <c r="F6" s="4"/>
      <c r="G6" s="7" t="e">
        <f t="shared" si="0"/>
        <v>#VALUE!</v>
      </c>
      <c r="H6" s="8" t="str">
        <f t="shared" si="4"/>
        <v/>
      </c>
      <c r="I6" s="6" t="str">
        <f t="shared" si="1"/>
        <v/>
      </c>
      <c r="J6" s="6" t="str">
        <f t="shared" si="2"/>
        <v/>
      </c>
      <c r="K6" s="6"/>
    </row>
    <row r="7" spans="1:15" ht="30" customHeight="1" x14ac:dyDescent="0.2">
      <c r="A7" s="18">
        <v>45967</v>
      </c>
      <c r="B7" s="4">
        <v>8</v>
      </c>
      <c r="C7" s="4">
        <v>17</v>
      </c>
      <c r="D7" s="11" t="str">
        <f t="shared" si="3"/>
        <v>17.20</v>
      </c>
      <c r="E7" s="4">
        <v>19.5</v>
      </c>
      <c r="F7" s="4"/>
      <c r="G7" s="7">
        <f t="shared" si="0"/>
        <v>2.3000000000000007</v>
      </c>
      <c r="H7" s="8">
        <f t="shared" si="4"/>
        <v>2.5000000000000009</v>
      </c>
      <c r="I7" s="6" t="str">
        <f t="shared" si="1"/>
        <v/>
      </c>
      <c r="J7" s="6" t="str">
        <f t="shared" si="2"/>
        <v/>
      </c>
      <c r="K7" s="6"/>
    </row>
    <row r="8" spans="1:15" ht="30" customHeight="1" x14ac:dyDescent="0.2">
      <c r="A8" s="18">
        <v>45968</v>
      </c>
      <c r="B8" s="4">
        <v>8</v>
      </c>
      <c r="C8" s="4">
        <v>17</v>
      </c>
      <c r="D8" s="11" t="str">
        <f t="shared" si="3"/>
        <v/>
      </c>
      <c r="E8" s="6"/>
      <c r="F8" s="4"/>
      <c r="G8" s="7" t="e">
        <f t="shared" si="0"/>
        <v>#VALUE!</v>
      </c>
      <c r="H8" s="8" t="str">
        <f t="shared" si="4"/>
        <v/>
      </c>
      <c r="I8" s="6" t="str">
        <f t="shared" si="1"/>
        <v/>
      </c>
      <c r="J8" s="6" t="str">
        <f t="shared" si="2"/>
        <v/>
      </c>
      <c r="K8" s="6"/>
    </row>
    <row r="9" spans="1:15" ht="30" customHeight="1" x14ac:dyDescent="0.2">
      <c r="A9" s="16">
        <v>45969</v>
      </c>
      <c r="B9" s="4"/>
      <c r="C9" s="4"/>
      <c r="D9" s="11" t="str">
        <f t="shared" si="3"/>
        <v/>
      </c>
      <c r="E9" s="6"/>
      <c r="F9" s="4"/>
      <c r="G9" s="7" t="e">
        <f t="shared" si="0"/>
        <v>#VALUE!</v>
      </c>
      <c r="H9" s="8" t="str">
        <f t="shared" si="4"/>
        <v/>
      </c>
      <c r="I9" s="6" t="str">
        <f t="shared" si="1"/>
        <v/>
      </c>
      <c r="J9" s="6" t="str">
        <f t="shared" si="2"/>
        <v/>
      </c>
      <c r="K9" s="6"/>
    </row>
    <row r="10" spans="1:15" ht="30" customHeight="1" x14ac:dyDescent="0.2">
      <c r="A10" s="16">
        <v>45970</v>
      </c>
      <c r="B10" s="4">
        <v>9</v>
      </c>
      <c r="C10" s="4">
        <v>17</v>
      </c>
      <c r="D10" s="11" t="str">
        <f t="shared" si="3"/>
        <v/>
      </c>
      <c r="E10" s="4"/>
      <c r="F10" s="4">
        <v>13</v>
      </c>
      <c r="G10" s="13" t="e">
        <f t="shared" si="0"/>
        <v>#VALUE!</v>
      </c>
      <c r="H10" s="8" t="str">
        <f t="shared" si="4"/>
        <v/>
      </c>
      <c r="I10" s="13">
        <f t="shared" si="1"/>
        <v>3</v>
      </c>
      <c r="J10" s="13">
        <f t="shared" si="2"/>
        <v>3</v>
      </c>
      <c r="K10" s="6"/>
    </row>
    <row r="11" spans="1:15" ht="30" customHeight="1" x14ac:dyDescent="0.2">
      <c r="A11" s="18">
        <v>45971</v>
      </c>
      <c r="B11" s="4">
        <v>8</v>
      </c>
      <c r="C11" s="4">
        <v>17</v>
      </c>
      <c r="D11" s="11" t="str">
        <f t="shared" si="3"/>
        <v/>
      </c>
      <c r="E11" s="4"/>
      <c r="F11" s="4"/>
      <c r="G11" s="7" t="e">
        <f t="shared" si="0"/>
        <v>#VALUE!</v>
      </c>
      <c r="H11" s="8" t="str">
        <f t="shared" si="4"/>
        <v/>
      </c>
      <c r="I11" s="6" t="str">
        <f t="shared" si="1"/>
        <v/>
      </c>
      <c r="J11" s="6" t="str">
        <f t="shared" si="2"/>
        <v/>
      </c>
      <c r="K11" s="6"/>
    </row>
    <row r="12" spans="1:15" ht="30" customHeight="1" x14ac:dyDescent="0.2">
      <c r="A12" s="18">
        <v>45972</v>
      </c>
      <c r="B12" s="4">
        <v>8</v>
      </c>
      <c r="C12" s="4">
        <v>17</v>
      </c>
      <c r="D12" s="11" t="str">
        <f t="shared" si="3"/>
        <v/>
      </c>
      <c r="E12" s="4"/>
      <c r="F12" s="4"/>
      <c r="G12" s="7" t="e">
        <f t="shared" si="0"/>
        <v>#VALUE!</v>
      </c>
      <c r="H12" s="8" t="str">
        <f t="shared" si="4"/>
        <v/>
      </c>
      <c r="I12" s="6" t="str">
        <f t="shared" si="1"/>
        <v/>
      </c>
      <c r="J12" s="6" t="str">
        <f t="shared" si="2"/>
        <v/>
      </c>
      <c r="K12" s="6"/>
    </row>
    <row r="13" spans="1:15" ht="30" customHeight="1" x14ac:dyDescent="0.2">
      <c r="A13" s="18">
        <v>45973</v>
      </c>
      <c r="B13" s="4">
        <v>8</v>
      </c>
      <c r="C13" s="4">
        <v>17</v>
      </c>
      <c r="D13" s="11" t="str">
        <f t="shared" si="3"/>
        <v>17.20</v>
      </c>
      <c r="E13" s="4">
        <v>19.5</v>
      </c>
      <c r="F13" s="4"/>
      <c r="G13" s="7">
        <f t="shared" si="0"/>
        <v>2.3000000000000007</v>
      </c>
      <c r="H13" s="8">
        <f t="shared" si="4"/>
        <v>2.5000000000000009</v>
      </c>
      <c r="I13" s="6" t="str">
        <f t="shared" si="1"/>
        <v/>
      </c>
      <c r="J13" s="6" t="str">
        <f t="shared" si="2"/>
        <v/>
      </c>
      <c r="K13" s="6"/>
    </row>
    <row r="14" spans="1:15" ht="30" customHeight="1" x14ac:dyDescent="0.2">
      <c r="A14" s="18">
        <v>45974</v>
      </c>
      <c r="B14" s="4">
        <v>8</v>
      </c>
      <c r="C14" s="4">
        <v>17</v>
      </c>
      <c r="D14" s="11" t="str">
        <f t="shared" si="3"/>
        <v>17.20</v>
      </c>
      <c r="E14" s="4">
        <v>18.5</v>
      </c>
      <c r="F14" s="4"/>
      <c r="G14" s="7">
        <f t="shared" si="0"/>
        <v>1.3000000000000007</v>
      </c>
      <c r="H14" s="8">
        <f t="shared" si="4"/>
        <v>1.5000000000000007</v>
      </c>
      <c r="I14" s="6" t="str">
        <f t="shared" si="1"/>
        <v/>
      </c>
      <c r="J14" s="6" t="str">
        <f t="shared" si="2"/>
        <v/>
      </c>
      <c r="K14" s="6"/>
    </row>
    <row r="15" spans="1:15" ht="30" customHeight="1" x14ac:dyDescent="0.2">
      <c r="A15" s="18">
        <v>45975</v>
      </c>
      <c r="B15" s="4">
        <v>8</v>
      </c>
      <c r="C15" s="4">
        <v>17</v>
      </c>
      <c r="D15" s="11" t="str">
        <f t="shared" si="3"/>
        <v>17.20</v>
      </c>
      <c r="E15" s="6">
        <v>18.5</v>
      </c>
      <c r="F15" s="4"/>
      <c r="G15" s="7">
        <f t="shared" si="0"/>
        <v>1.3000000000000007</v>
      </c>
      <c r="H15" s="8">
        <f t="shared" si="4"/>
        <v>1.5000000000000007</v>
      </c>
      <c r="I15" s="6" t="str">
        <f t="shared" si="1"/>
        <v/>
      </c>
      <c r="J15" s="6" t="str">
        <f t="shared" si="2"/>
        <v/>
      </c>
      <c r="K15" s="6"/>
    </row>
    <row r="16" spans="1:15" ht="30" customHeight="1" x14ac:dyDescent="0.2">
      <c r="A16" s="16">
        <v>45976</v>
      </c>
      <c r="B16" s="4"/>
      <c r="C16" s="4"/>
      <c r="D16" s="11" t="str">
        <f t="shared" si="3"/>
        <v/>
      </c>
      <c r="E16" s="4"/>
      <c r="F16" s="4"/>
      <c r="G16" s="7" t="e">
        <f t="shared" si="0"/>
        <v>#VALUE!</v>
      </c>
      <c r="H16" s="8" t="str">
        <f t="shared" si="4"/>
        <v/>
      </c>
      <c r="I16" s="6" t="str">
        <f t="shared" si="1"/>
        <v/>
      </c>
      <c r="J16" s="6" t="str">
        <f t="shared" si="2"/>
        <v/>
      </c>
      <c r="K16" s="6"/>
      <c r="L16" s="27" t="s">
        <v>12</v>
      </c>
      <c r="M16" s="28"/>
      <c r="N16" s="28"/>
      <c r="O16" s="28"/>
    </row>
    <row r="17" spans="1:17" ht="30" customHeight="1" x14ac:dyDescent="0.2">
      <c r="A17" s="16">
        <v>45977</v>
      </c>
      <c r="B17" s="4"/>
      <c r="C17" s="4"/>
      <c r="D17" s="11" t="str">
        <f t="shared" si="3"/>
        <v/>
      </c>
      <c r="E17" s="4"/>
      <c r="F17" s="4"/>
      <c r="G17" s="7" t="e">
        <f t="shared" si="0"/>
        <v>#VALUE!</v>
      </c>
      <c r="H17" s="8" t="str">
        <f t="shared" si="4"/>
        <v/>
      </c>
      <c r="I17" s="6" t="str">
        <f>IF(F17&lt;&gt;"",(F17-B17)-1,"")</f>
        <v/>
      </c>
      <c r="J17" s="6" t="str">
        <f>IF(I17&lt;&gt;"",IF(MOD(I17,1)&lt;&gt;0,I17-0.2,I17),"")</f>
        <v/>
      </c>
      <c r="K17" s="6"/>
      <c r="L17" s="25" t="s">
        <v>8</v>
      </c>
      <c r="M17" s="2" t="s">
        <v>9</v>
      </c>
      <c r="N17" s="2" t="s">
        <v>10</v>
      </c>
      <c r="O17" s="2" t="s">
        <v>14</v>
      </c>
    </row>
    <row r="18" spans="1:17" ht="30" customHeight="1" x14ac:dyDescent="0.2">
      <c r="A18" s="18">
        <v>45978</v>
      </c>
      <c r="B18" s="4">
        <v>8</v>
      </c>
      <c r="C18" s="4">
        <v>17</v>
      </c>
      <c r="D18" s="11" t="str">
        <f t="shared" si="3"/>
        <v>17.20</v>
      </c>
      <c r="E18" s="4">
        <v>19.5</v>
      </c>
      <c r="F18" s="4"/>
      <c r="G18" s="7">
        <f t="shared" si="0"/>
        <v>2.3000000000000007</v>
      </c>
      <c r="H18" s="8">
        <f t="shared" si="4"/>
        <v>2.5000000000000009</v>
      </c>
      <c r="I18" s="6" t="str">
        <f t="shared" si="1"/>
        <v/>
      </c>
      <c r="J18" s="6" t="str">
        <f t="shared" ref="J18:J29" si="5">IF(I18&lt;&gt;"",IF(MOD(I18,1)&lt;&gt;0,I18-0.2,I18),"")</f>
        <v/>
      </c>
      <c r="K18" s="6"/>
      <c r="L18" s="26"/>
      <c r="M18" s="8">
        <f>SUM('Oct.25 '!H17:H32)+SUM(H2:H16)</f>
        <v>29.500000000000007</v>
      </c>
      <c r="N18" s="6">
        <f>SUM('Oct.25 '!J17:J32)+SUM(Nov.25!J2:J16)</f>
        <v>8.5</v>
      </c>
      <c r="O18" s="6"/>
      <c r="Q18" s="9"/>
    </row>
    <row r="19" spans="1:17" ht="30" customHeight="1" x14ac:dyDescent="0.2">
      <c r="A19" s="18">
        <v>45979</v>
      </c>
      <c r="B19" s="4">
        <v>8</v>
      </c>
      <c r="C19" s="4">
        <v>17</v>
      </c>
      <c r="D19" s="11" t="str">
        <f t="shared" si="3"/>
        <v>17.20</v>
      </c>
      <c r="E19" s="4">
        <v>19.5</v>
      </c>
      <c r="F19" s="4"/>
      <c r="G19" s="7">
        <f t="shared" si="0"/>
        <v>2.3000000000000007</v>
      </c>
      <c r="H19" s="8">
        <f t="shared" si="4"/>
        <v>2.5000000000000009</v>
      </c>
      <c r="I19" s="6" t="str">
        <f t="shared" si="1"/>
        <v/>
      </c>
      <c r="J19" s="6" t="str">
        <f t="shared" si="5"/>
        <v/>
      </c>
      <c r="K19" s="6"/>
      <c r="M19" s="14"/>
      <c r="N19" s="14"/>
      <c r="O19" s="14"/>
    </row>
    <row r="20" spans="1:17" ht="30" customHeight="1" x14ac:dyDescent="0.2">
      <c r="A20" s="18">
        <v>45980</v>
      </c>
      <c r="B20" s="4">
        <v>8</v>
      </c>
      <c r="C20" s="4">
        <v>17</v>
      </c>
      <c r="D20" s="11" t="str">
        <f t="shared" si="3"/>
        <v/>
      </c>
      <c r="E20" s="4">
        <v>17</v>
      </c>
      <c r="F20" s="4"/>
      <c r="G20" s="7" t="e">
        <f t="shared" si="0"/>
        <v>#VALUE!</v>
      </c>
      <c r="H20" s="8" t="str">
        <f t="shared" si="4"/>
        <v/>
      </c>
      <c r="I20" s="6" t="str">
        <f t="shared" si="1"/>
        <v/>
      </c>
      <c r="J20" s="6" t="str">
        <f t="shared" si="5"/>
        <v/>
      </c>
      <c r="K20" s="6"/>
    </row>
    <row r="21" spans="1:17" ht="30" customHeight="1" x14ac:dyDescent="0.2">
      <c r="A21" s="18">
        <v>45981</v>
      </c>
      <c r="B21" s="4">
        <v>8</v>
      </c>
      <c r="C21" s="4">
        <v>17</v>
      </c>
      <c r="D21" s="11" t="str">
        <f t="shared" si="3"/>
        <v>17.20</v>
      </c>
      <c r="E21" s="4">
        <v>19.5</v>
      </c>
      <c r="F21" s="4"/>
      <c r="G21" s="7">
        <f t="shared" si="0"/>
        <v>2.3000000000000007</v>
      </c>
      <c r="H21" s="8">
        <f t="shared" si="4"/>
        <v>2.5000000000000009</v>
      </c>
      <c r="I21" s="6" t="str">
        <f t="shared" si="1"/>
        <v/>
      </c>
      <c r="J21" s="6" t="str">
        <f t="shared" si="5"/>
        <v/>
      </c>
      <c r="K21" s="6"/>
    </row>
    <row r="22" spans="1:17" ht="30" customHeight="1" x14ac:dyDescent="0.2">
      <c r="A22" s="18">
        <v>45982</v>
      </c>
      <c r="B22" s="4">
        <v>8</v>
      </c>
      <c r="C22" s="4">
        <v>17</v>
      </c>
      <c r="D22" s="11" t="str">
        <f t="shared" si="3"/>
        <v>17.20</v>
      </c>
      <c r="E22" s="4">
        <v>18.5</v>
      </c>
      <c r="F22" s="4"/>
      <c r="G22" s="7">
        <f t="shared" si="0"/>
        <v>1.3000000000000007</v>
      </c>
      <c r="H22" s="8">
        <f t="shared" si="4"/>
        <v>1.5000000000000007</v>
      </c>
      <c r="I22" s="6" t="str">
        <f t="shared" si="1"/>
        <v/>
      </c>
      <c r="J22" s="6" t="str">
        <f t="shared" si="5"/>
        <v/>
      </c>
      <c r="K22" s="6"/>
    </row>
    <row r="23" spans="1:17" ht="30" customHeight="1" x14ac:dyDescent="0.2">
      <c r="A23" s="16">
        <v>45983</v>
      </c>
      <c r="B23" s="4"/>
      <c r="C23" s="4"/>
      <c r="D23" s="11" t="str">
        <f t="shared" si="3"/>
        <v/>
      </c>
      <c r="E23" s="4"/>
      <c r="F23" s="4"/>
      <c r="G23" s="7" t="e">
        <f t="shared" si="0"/>
        <v>#VALUE!</v>
      </c>
      <c r="H23" s="8" t="str">
        <f t="shared" si="4"/>
        <v/>
      </c>
      <c r="I23" s="6" t="str">
        <f t="shared" si="1"/>
        <v/>
      </c>
      <c r="J23" s="6" t="str">
        <f t="shared" si="5"/>
        <v/>
      </c>
      <c r="K23" s="6"/>
    </row>
    <row r="24" spans="1:17" ht="30" customHeight="1" x14ac:dyDescent="0.2">
      <c r="A24" s="16">
        <v>45984</v>
      </c>
      <c r="B24" s="4"/>
      <c r="C24" s="4"/>
      <c r="D24" s="11" t="str">
        <f t="shared" si="3"/>
        <v/>
      </c>
      <c r="E24" s="4"/>
      <c r="F24" s="4"/>
      <c r="G24" s="7" t="e">
        <f t="shared" si="0"/>
        <v>#VALUE!</v>
      </c>
      <c r="H24" s="8" t="str">
        <f t="shared" si="4"/>
        <v/>
      </c>
      <c r="I24" s="6" t="str">
        <f t="shared" si="1"/>
        <v/>
      </c>
      <c r="J24" s="6" t="str">
        <f t="shared" si="5"/>
        <v/>
      </c>
      <c r="K24" s="6"/>
    </row>
    <row r="25" spans="1:17" ht="30" customHeight="1" x14ac:dyDescent="0.2">
      <c r="A25" s="18">
        <v>45985</v>
      </c>
      <c r="B25" s="4">
        <v>8</v>
      </c>
      <c r="C25" s="4">
        <v>17</v>
      </c>
      <c r="D25" s="11" t="str">
        <f t="shared" si="3"/>
        <v>17.20</v>
      </c>
      <c r="E25" s="4">
        <v>18.2</v>
      </c>
      <c r="F25" s="4"/>
      <c r="G25" s="7">
        <f t="shared" si="0"/>
        <v>1</v>
      </c>
      <c r="H25" s="8">
        <f t="shared" si="4"/>
        <v>1</v>
      </c>
      <c r="I25" s="6" t="str">
        <f t="shared" si="1"/>
        <v/>
      </c>
      <c r="J25" s="6" t="str">
        <f t="shared" si="5"/>
        <v/>
      </c>
      <c r="K25" s="6"/>
    </row>
    <row r="26" spans="1:17" ht="30" customHeight="1" x14ac:dyDescent="0.2">
      <c r="A26" s="18">
        <v>45986</v>
      </c>
      <c r="B26" s="4">
        <v>8</v>
      </c>
      <c r="C26" s="4">
        <v>17</v>
      </c>
      <c r="D26" s="11" t="str">
        <f t="shared" si="3"/>
        <v>17.20</v>
      </c>
      <c r="E26" s="4">
        <v>19.5</v>
      </c>
      <c r="F26" s="4"/>
      <c r="G26" s="7">
        <f t="shared" si="0"/>
        <v>2.3000000000000007</v>
      </c>
      <c r="H26" s="8">
        <f t="shared" si="4"/>
        <v>2.5000000000000009</v>
      </c>
      <c r="I26" s="6" t="str">
        <f t="shared" si="1"/>
        <v/>
      </c>
      <c r="J26" s="6" t="str">
        <f t="shared" si="5"/>
        <v/>
      </c>
      <c r="K26" s="6"/>
    </row>
    <row r="27" spans="1:17" ht="30" customHeight="1" x14ac:dyDescent="0.2">
      <c r="A27" s="18">
        <v>45987</v>
      </c>
      <c r="B27" s="4">
        <v>8</v>
      </c>
      <c r="C27" s="4">
        <v>17</v>
      </c>
      <c r="D27" s="11" t="str">
        <f t="shared" si="3"/>
        <v>17.20</v>
      </c>
      <c r="E27" s="4">
        <v>18.2</v>
      </c>
      <c r="F27" s="4"/>
      <c r="G27" s="7">
        <f t="shared" si="0"/>
        <v>1</v>
      </c>
      <c r="H27" s="8">
        <f t="shared" si="4"/>
        <v>1</v>
      </c>
      <c r="I27" s="6" t="str">
        <f t="shared" si="1"/>
        <v/>
      </c>
      <c r="J27" s="6" t="str">
        <f t="shared" si="5"/>
        <v/>
      </c>
      <c r="K27" s="6"/>
    </row>
    <row r="28" spans="1:17" ht="30" customHeight="1" x14ac:dyDescent="0.2">
      <c r="A28" s="18">
        <v>45988</v>
      </c>
      <c r="B28" s="4">
        <v>8</v>
      </c>
      <c r="C28" s="4">
        <v>17</v>
      </c>
      <c r="D28" s="11" t="str">
        <f t="shared" si="3"/>
        <v/>
      </c>
      <c r="E28" s="4"/>
      <c r="F28" s="4"/>
      <c r="G28" s="7" t="e">
        <f t="shared" si="0"/>
        <v>#VALUE!</v>
      </c>
      <c r="H28" s="8" t="str">
        <f t="shared" si="4"/>
        <v/>
      </c>
      <c r="I28" s="6" t="str">
        <f t="shared" si="1"/>
        <v/>
      </c>
      <c r="J28" s="6" t="str">
        <f t="shared" si="5"/>
        <v/>
      </c>
      <c r="K28" s="6"/>
    </row>
    <row r="29" spans="1:17" ht="30" customHeight="1" x14ac:dyDescent="0.2">
      <c r="A29" s="18">
        <v>45989</v>
      </c>
      <c r="B29" s="4">
        <v>8</v>
      </c>
      <c r="C29" s="4">
        <v>17</v>
      </c>
      <c r="D29" s="11" t="str">
        <f t="shared" si="3"/>
        <v/>
      </c>
      <c r="E29" s="4"/>
      <c r="F29" s="4"/>
      <c r="G29" s="7" t="e">
        <f t="shared" si="0"/>
        <v>#VALUE!</v>
      </c>
      <c r="H29" s="8" t="str">
        <f t="shared" si="4"/>
        <v/>
      </c>
      <c r="I29" s="6" t="str">
        <f t="shared" si="1"/>
        <v/>
      </c>
      <c r="J29" s="6" t="str">
        <f t="shared" si="5"/>
        <v/>
      </c>
      <c r="K29" s="6"/>
    </row>
    <row r="30" spans="1:17" ht="30" customHeight="1" x14ac:dyDescent="0.2">
      <c r="A30" s="16">
        <v>45990</v>
      </c>
      <c r="B30" s="4"/>
      <c r="C30" s="4"/>
      <c r="D30" s="11" t="str">
        <f t="shared" si="3"/>
        <v/>
      </c>
      <c r="E30" s="4"/>
      <c r="F30" s="4"/>
      <c r="G30" s="7"/>
      <c r="H30" s="8"/>
      <c r="I30" s="6"/>
      <c r="J30" s="6"/>
      <c r="K30" s="6"/>
    </row>
    <row r="31" spans="1:17" ht="30" customHeight="1" x14ac:dyDescent="0.2">
      <c r="A31" s="16">
        <v>45991</v>
      </c>
      <c r="B31" s="4"/>
      <c r="C31" s="4"/>
      <c r="D31" s="11" t="str">
        <f t="shared" si="3"/>
        <v/>
      </c>
      <c r="E31" s="4"/>
      <c r="F31" s="4"/>
      <c r="G31" s="7"/>
      <c r="H31" s="8"/>
      <c r="I31" s="6"/>
      <c r="J31" s="6"/>
      <c r="K31" s="6"/>
    </row>
    <row r="32" spans="1:17" ht="30" hidden="1" customHeight="1" x14ac:dyDescent="0.2">
      <c r="A32" s="17">
        <v>45747</v>
      </c>
      <c r="B32" s="4"/>
      <c r="C32" s="4"/>
      <c r="D32" s="11" t="str">
        <f t="shared" si="3"/>
        <v/>
      </c>
      <c r="E32" s="4"/>
      <c r="F32" s="4"/>
      <c r="G32" s="7"/>
      <c r="H32" s="8"/>
      <c r="I32" s="6"/>
      <c r="J32" s="6"/>
      <c r="K32" s="6"/>
    </row>
    <row r="33" spans="1:3" ht="30" customHeight="1" x14ac:dyDescent="0.2"/>
    <row r="34" spans="1:3" ht="30" customHeight="1" x14ac:dyDescent="0.2">
      <c r="A34" s="14">
        <f>M18*173.07</f>
        <v>5105.5650000000014</v>
      </c>
      <c r="B34" s="14">
        <f>N18*115.38</f>
        <v>980.73</v>
      </c>
      <c r="C34" s="14">
        <f>A34+B34</f>
        <v>6086.2950000000019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6:O16"/>
    <mergeCell ref="L17:L1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1A33-6C5A-4649-AA12-D26255122A07}">
  <dimension ref="A1:Q437"/>
  <sheetViews>
    <sheetView tabSelected="1" zoomScaleNormal="100" workbookViewId="0">
      <pane ySplit="1" topLeftCell="A12" activePane="bottomLeft" state="frozen"/>
      <selection pane="bottomLeft" activeCell="J27" sqref="J27"/>
    </sheetView>
  </sheetViews>
  <sheetFormatPr defaultRowHeight="26.25" x14ac:dyDescent="0.2"/>
  <cols>
    <col min="1" max="2" width="12.5" style="1" customWidth="1"/>
    <col min="3" max="3" width="10.875" style="1" customWidth="1"/>
    <col min="4" max="4" width="13.75" style="1" customWidth="1"/>
    <col min="5" max="5" width="13.625" style="1" customWidth="1"/>
    <col min="6" max="6" width="10.625" style="1" customWidth="1"/>
    <col min="7" max="7" width="6.875" style="1" hidden="1" customWidth="1"/>
    <col min="8" max="8" width="9" style="1"/>
    <col min="9" max="9" width="9" style="1" hidden="1" customWidth="1"/>
    <col min="10" max="12" width="9" style="1"/>
    <col min="13" max="13" width="9.75" style="1" bestFit="1" customWidth="1"/>
    <col min="14" max="14" width="10.125" style="1" customWidth="1"/>
    <col min="15" max="15" width="9.75" style="1" bestFit="1" customWidth="1"/>
    <col min="16" max="16384" width="9" style="1"/>
  </cols>
  <sheetData>
    <row r="1" spans="1:15" ht="30" customHeight="1" x14ac:dyDescent="0.2">
      <c r="A1" s="2" t="s">
        <v>0</v>
      </c>
      <c r="B1" s="19" t="s">
        <v>1</v>
      </c>
      <c r="C1" s="19"/>
      <c r="D1" s="2" t="s">
        <v>7</v>
      </c>
      <c r="E1" s="2" t="s">
        <v>5</v>
      </c>
      <c r="F1" s="2" t="s">
        <v>6</v>
      </c>
      <c r="G1" s="2" t="s">
        <v>2</v>
      </c>
      <c r="H1" s="10" t="s">
        <v>4</v>
      </c>
      <c r="I1" s="2" t="s">
        <v>3</v>
      </c>
      <c r="J1" s="10" t="s">
        <v>3</v>
      </c>
      <c r="K1" s="10" t="s">
        <v>13</v>
      </c>
    </row>
    <row r="2" spans="1:15" ht="30" customHeight="1" x14ac:dyDescent="0.2">
      <c r="A2" s="29">
        <v>45962</v>
      </c>
      <c r="B2" s="30">
        <v>8</v>
      </c>
      <c r="C2" s="30">
        <v>17</v>
      </c>
      <c r="D2" s="31" t="str">
        <f>IF(E2&gt;17,"17.20","")</f>
        <v>17.20</v>
      </c>
      <c r="E2" s="32">
        <v>18.5</v>
      </c>
      <c r="F2" s="30"/>
      <c r="G2" s="33">
        <f t="shared" ref="G2:G29" si="0">E2-D2</f>
        <v>1.3000000000000007</v>
      </c>
      <c r="H2" s="34">
        <f>IF(D2&lt;&gt;"",IF(MOD(G2,1)&lt;&gt;0,G2+0.2,G2),"")</f>
        <v>1.5000000000000007</v>
      </c>
      <c r="I2" s="32" t="str">
        <f t="shared" ref="I2:I29" si="1">IF(F2&lt;&gt;"",(F2-B2)-1,"")</f>
        <v/>
      </c>
      <c r="J2" s="32" t="str">
        <f t="shared" ref="J2:J16" si="2">IF(I2&lt;&gt;"",IF(MOD(I2,1)&lt;&gt;0,I2-0.2,I2),"")</f>
        <v/>
      </c>
      <c r="K2" s="32"/>
    </row>
    <row r="3" spans="1:15" ht="30" customHeight="1" x14ac:dyDescent="0.2">
      <c r="A3" s="29">
        <v>45963</v>
      </c>
      <c r="B3" s="30">
        <v>8</v>
      </c>
      <c r="C3" s="30">
        <v>17</v>
      </c>
      <c r="D3" s="31" t="str">
        <f t="shared" ref="D3:D32" si="3">IF(E3&gt;17,"17.20","")</f>
        <v>17.20</v>
      </c>
      <c r="E3" s="30">
        <v>19.5</v>
      </c>
      <c r="F3" s="30"/>
      <c r="G3" s="33">
        <f t="shared" si="0"/>
        <v>2.3000000000000007</v>
      </c>
      <c r="H3" s="34">
        <f t="shared" ref="H3:H29" si="4">IF(D3&lt;&gt;"",IF(MOD(G3,1)&lt;&gt;0,G3+0.2,G3),"")</f>
        <v>2.5000000000000009</v>
      </c>
      <c r="I3" s="32" t="str">
        <f t="shared" si="1"/>
        <v/>
      </c>
      <c r="J3" s="32" t="str">
        <f t="shared" si="2"/>
        <v/>
      </c>
      <c r="K3" s="32"/>
    </row>
    <row r="4" spans="1:15" ht="30" customHeight="1" x14ac:dyDescent="0.2">
      <c r="A4" s="29">
        <v>45964</v>
      </c>
      <c r="B4" s="30">
        <v>8</v>
      </c>
      <c r="C4" s="30">
        <v>17</v>
      </c>
      <c r="D4" s="31" t="str">
        <f t="shared" si="3"/>
        <v/>
      </c>
      <c r="E4" s="30">
        <v>17</v>
      </c>
      <c r="F4" s="30"/>
      <c r="G4" s="33" t="e">
        <f t="shared" si="0"/>
        <v>#VALUE!</v>
      </c>
      <c r="H4" s="34" t="str">
        <f t="shared" si="4"/>
        <v/>
      </c>
      <c r="I4" s="32" t="str">
        <f t="shared" si="1"/>
        <v/>
      </c>
      <c r="J4" s="32" t="str">
        <f t="shared" si="2"/>
        <v/>
      </c>
      <c r="K4" s="32"/>
    </row>
    <row r="5" spans="1:15" ht="30" customHeight="1" x14ac:dyDescent="0.2">
      <c r="A5" s="29">
        <v>45965</v>
      </c>
      <c r="B5" s="30">
        <v>8</v>
      </c>
      <c r="C5" s="30">
        <v>17</v>
      </c>
      <c r="D5" s="31" t="str">
        <f t="shared" si="3"/>
        <v>17.20</v>
      </c>
      <c r="E5" s="30">
        <v>18.2</v>
      </c>
      <c r="F5" s="30"/>
      <c r="G5" s="33">
        <f t="shared" si="0"/>
        <v>1</v>
      </c>
      <c r="H5" s="34">
        <f t="shared" si="4"/>
        <v>1</v>
      </c>
      <c r="I5" s="32" t="str">
        <f t="shared" si="1"/>
        <v/>
      </c>
      <c r="J5" s="32" t="str">
        <f t="shared" si="2"/>
        <v/>
      </c>
      <c r="K5" s="32"/>
    </row>
    <row r="6" spans="1:15" ht="30" customHeight="1" x14ac:dyDescent="0.2">
      <c r="A6" s="36">
        <v>45966</v>
      </c>
      <c r="B6" s="30"/>
      <c r="C6" s="30"/>
      <c r="D6" s="31" t="str">
        <f t="shared" si="3"/>
        <v/>
      </c>
      <c r="E6" s="30"/>
      <c r="F6" s="30"/>
      <c r="G6" s="33" t="e">
        <f t="shared" si="0"/>
        <v>#VALUE!</v>
      </c>
      <c r="H6" s="34" t="str">
        <f t="shared" si="4"/>
        <v/>
      </c>
      <c r="I6" s="32" t="str">
        <f t="shared" si="1"/>
        <v/>
      </c>
      <c r="J6" s="32" t="str">
        <f t="shared" si="2"/>
        <v/>
      </c>
      <c r="K6" s="32"/>
    </row>
    <row r="7" spans="1:15" ht="30" customHeight="1" x14ac:dyDescent="0.2">
      <c r="A7" s="36">
        <v>45967</v>
      </c>
      <c r="B7" s="30"/>
      <c r="C7" s="30"/>
      <c r="D7" s="31" t="str">
        <f t="shared" si="3"/>
        <v/>
      </c>
      <c r="E7" s="30"/>
      <c r="F7" s="30"/>
      <c r="G7" s="33" t="e">
        <f t="shared" si="0"/>
        <v>#VALUE!</v>
      </c>
      <c r="H7" s="34" t="str">
        <f t="shared" si="4"/>
        <v/>
      </c>
      <c r="I7" s="32" t="str">
        <f t="shared" si="1"/>
        <v/>
      </c>
      <c r="J7" s="32" t="str">
        <f t="shared" si="2"/>
        <v/>
      </c>
      <c r="K7" s="32"/>
    </row>
    <row r="8" spans="1:15" ht="30" customHeight="1" x14ac:dyDescent="0.2">
      <c r="A8" s="36">
        <v>45968</v>
      </c>
      <c r="B8" s="30"/>
      <c r="C8" s="30"/>
      <c r="D8" s="31" t="str">
        <f t="shared" si="3"/>
        <v/>
      </c>
      <c r="E8" s="32"/>
      <c r="F8" s="30"/>
      <c r="G8" s="33" t="e">
        <f t="shared" si="0"/>
        <v>#VALUE!</v>
      </c>
      <c r="H8" s="34" t="str">
        <f t="shared" si="4"/>
        <v/>
      </c>
      <c r="I8" s="32" t="str">
        <f t="shared" si="1"/>
        <v/>
      </c>
      <c r="J8" s="32" t="str">
        <f t="shared" si="2"/>
        <v/>
      </c>
      <c r="K8" s="32"/>
    </row>
    <row r="9" spans="1:15" ht="30" customHeight="1" x14ac:dyDescent="0.2">
      <c r="A9" s="29">
        <v>45969</v>
      </c>
      <c r="B9" s="30">
        <v>8</v>
      </c>
      <c r="C9" s="30">
        <v>17</v>
      </c>
      <c r="D9" s="31" t="str">
        <f t="shared" si="3"/>
        <v/>
      </c>
      <c r="E9" s="32"/>
      <c r="F9" s="30"/>
      <c r="G9" s="33" t="e">
        <f t="shared" si="0"/>
        <v>#VALUE!</v>
      </c>
      <c r="H9" s="34" t="str">
        <f t="shared" si="4"/>
        <v/>
      </c>
      <c r="I9" s="32" t="str">
        <f t="shared" si="1"/>
        <v/>
      </c>
      <c r="J9" s="32" t="str">
        <f t="shared" si="2"/>
        <v/>
      </c>
      <c r="K9" s="32"/>
    </row>
    <row r="10" spans="1:15" ht="30" customHeight="1" x14ac:dyDescent="0.2">
      <c r="A10" s="29">
        <v>45970</v>
      </c>
      <c r="B10" s="30">
        <v>8</v>
      </c>
      <c r="C10" s="30">
        <v>17</v>
      </c>
      <c r="D10" s="31" t="str">
        <f t="shared" si="3"/>
        <v>17.20</v>
      </c>
      <c r="E10" s="30">
        <v>19.2</v>
      </c>
      <c r="F10" s="30"/>
      <c r="G10" s="35">
        <f t="shared" si="0"/>
        <v>2</v>
      </c>
      <c r="H10" s="34">
        <f t="shared" si="4"/>
        <v>2</v>
      </c>
      <c r="I10" s="35" t="str">
        <f t="shared" si="1"/>
        <v/>
      </c>
      <c r="J10" s="35" t="str">
        <f t="shared" si="2"/>
        <v/>
      </c>
      <c r="K10" s="32"/>
    </row>
    <row r="11" spans="1:15" ht="30" customHeight="1" x14ac:dyDescent="0.2">
      <c r="A11" s="29">
        <v>45971</v>
      </c>
      <c r="B11" s="30">
        <v>8</v>
      </c>
      <c r="C11" s="30">
        <v>17</v>
      </c>
      <c r="D11" s="31" t="str">
        <f t="shared" si="3"/>
        <v>17.20</v>
      </c>
      <c r="E11" s="30">
        <v>19.2</v>
      </c>
      <c r="F11" s="30"/>
      <c r="G11" s="33">
        <f t="shared" si="0"/>
        <v>2</v>
      </c>
      <c r="H11" s="34">
        <f t="shared" si="4"/>
        <v>2</v>
      </c>
      <c r="I11" s="32" t="str">
        <f t="shared" si="1"/>
        <v/>
      </c>
      <c r="J11" s="32" t="str">
        <f t="shared" si="2"/>
        <v/>
      </c>
      <c r="K11" s="32"/>
    </row>
    <row r="12" spans="1:15" ht="30" customHeight="1" x14ac:dyDescent="0.2">
      <c r="A12" s="29">
        <v>45972</v>
      </c>
      <c r="B12" s="30">
        <v>8</v>
      </c>
      <c r="C12" s="30">
        <v>17</v>
      </c>
      <c r="D12" s="31" t="str">
        <f t="shared" si="3"/>
        <v>17.20</v>
      </c>
      <c r="E12" s="30">
        <v>19.5</v>
      </c>
      <c r="F12" s="30"/>
      <c r="G12" s="33">
        <f t="shared" si="0"/>
        <v>2.3000000000000007</v>
      </c>
      <c r="H12" s="34">
        <f t="shared" si="4"/>
        <v>2.5000000000000009</v>
      </c>
      <c r="I12" s="32" t="str">
        <f t="shared" si="1"/>
        <v/>
      </c>
      <c r="J12" s="32" t="str">
        <f t="shared" si="2"/>
        <v/>
      </c>
      <c r="K12" s="32"/>
    </row>
    <row r="13" spans="1:15" ht="30" customHeight="1" x14ac:dyDescent="0.2">
      <c r="A13" s="29">
        <v>45973</v>
      </c>
      <c r="B13" s="30">
        <v>8</v>
      </c>
      <c r="C13" s="30">
        <v>17</v>
      </c>
      <c r="D13" s="31" t="str">
        <f t="shared" si="3"/>
        <v>17.20</v>
      </c>
      <c r="E13" s="30">
        <v>19.2</v>
      </c>
      <c r="F13" s="30"/>
      <c r="G13" s="33">
        <f t="shared" si="0"/>
        <v>2</v>
      </c>
      <c r="H13" s="34">
        <f t="shared" si="4"/>
        <v>2</v>
      </c>
      <c r="I13" s="32" t="str">
        <f t="shared" si="1"/>
        <v/>
      </c>
      <c r="J13" s="32" t="str">
        <f t="shared" si="2"/>
        <v/>
      </c>
      <c r="K13" s="32"/>
    </row>
    <row r="14" spans="1:15" ht="30" customHeight="1" x14ac:dyDescent="0.2">
      <c r="A14" s="36">
        <v>45974</v>
      </c>
      <c r="B14" s="30"/>
      <c r="C14" s="30"/>
      <c r="D14" s="31" t="str">
        <f t="shared" si="3"/>
        <v/>
      </c>
      <c r="E14" s="30"/>
      <c r="F14" s="30"/>
      <c r="G14" s="33" t="e">
        <f t="shared" si="0"/>
        <v>#VALUE!</v>
      </c>
      <c r="H14" s="34" t="str">
        <f t="shared" si="4"/>
        <v/>
      </c>
      <c r="I14" s="32" t="str">
        <f t="shared" si="1"/>
        <v/>
      </c>
      <c r="J14" s="32" t="str">
        <f t="shared" si="2"/>
        <v/>
      </c>
      <c r="K14" s="32"/>
    </row>
    <row r="15" spans="1:15" ht="30" customHeight="1" x14ac:dyDescent="0.2">
      <c r="A15" s="36">
        <v>45975</v>
      </c>
      <c r="B15" s="30"/>
      <c r="C15" s="30"/>
      <c r="D15" s="31" t="str">
        <f t="shared" si="3"/>
        <v/>
      </c>
      <c r="E15" s="32"/>
      <c r="F15" s="30"/>
      <c r="G15" s="33" t="e">
        <f t="shared" si="0"/>
        <v>#VALUE!</v>
      </c>
      <c r="H15" s="34" t="str">
        <f t="shared" si="4"/>
        <v/>
      </c>
      <c r="I15" s="32" t="str">
        <f t="shared" si="1"/>
        <v/>
      </c>
      <c r="J15" s="32" t="str">
        <f t="shared" si="2"/>
        <v/>
      </c>
      <c r="K15" s="32"/>
    </row>
    <row r="16" spans="1:15" ht="30" customHeight="1" x14ac:dyDescent="0.2">
      <c r="A16" s="29">
        <v>45976</v>
      </c>
      <c r="B16" s="30">
        <v>8</v>
      </c>
      <c r="C16" s="30">
        <v>17</v>
      </c>
      <c r="D16" s="31" t="str">
        <f t="shared" si="3"/>
        <v/>
      </c>
      <c r="E16" s="30"/>
      <c r="F16" s="30"/>
      <c r="G16" s="33" t="e">
        <f t="shared" si="0"/>
        <v>#VALUE!</v>
      </c>
      <c r="H16" s="34" t="str">
        <f t="shared" si="4"/>
        <v/>
      </c>
      <c r="I16" s="32" t="str">
        <f t="shared" si="1"/>
        <v/>
      </c>
      <c r="J16" s="32" t="str">
        <f t="shared" si="2"/>
        <v/>
      </c>
      <c r="K16" s="32"/>
      <c r="L16" s="27" t="s">
        <v>12</v>
      </c>
      <c r="M16" s="28"/>
      <c r="N16" s="28"/>
      <c r="O16" s="28"/>
    </row>
    <row r="17" spans="1:17" ht="30" customHeight="1" x14ac:dyDescent="0.2">
      <c r="A17" s="29">
        <v>45977</v>
      </c>
      <c r="B17" s="30">
        <v>8</v>
      </c>
      <c r="C17" s="30">
        <v>17</v>
      </c>
      <c r="D17" s="31" t="str">
        <f t="shared" si="3"/>
        <v/>
      </c>
      <c r="E17" s="30"/>
      <c r="F17" s="30"/>
      <c r="G17" s="33" t="e">
        <f t="shared" si="0"/>
        <v>#VALUE!</v>
      </c>
      <c r="H17" s="34" t="str">
        <f t="shared" si="4"/>
        <v/>
      </c>
      <c r="I17" s="32" t="str">
        <f>IF(F17&lt;&gt;"",(F17-B17)-1,"")</f>
        <v/>
      </c>
      <c r="J17" s="32" t="str">
        <f>IF(I17&lt;&gt;"",IF(MOD(I17,1)&lt;&gt;0,I17-0.2,I17),"")</f>
        <v/>
      </c>
      <c r="K17" s="32"/>
      <c r="L17" s="25" t="s">
        <v>8</v>
      </c>
      <c r="M17" s="2" t="s">
        <v>9</v>
      </c>
      <c r="N17" s="2" t="s">
        <v>10</v>
      </c>
      <c r="O17" s="2" t="s">
        <v>14</v>
      </c>
    </row>
    <row r="18" spans="1:17" ht="30" customHeight="1" x14ac:dyDescent="0.2">
      <c r="A18" s="29">
        <v>45978</v>
      </c>
      <c r="B18" s="30">
        <v>8</v>
      </c>
      <c r="C18" s="30">
        <v>17</v>
      </c>
      <c r="D18" s="31" t="str">
        <f t="shared" si="3"/>
        <v/>
      </c>
      <c r="E18" s="30"/>
      <c r="F18" s="30"/>
      <c r="G18" s="33" t="e">
        <f t="shared" si="0"/>
        <v>#VALUE!</v>
      </c>
      <c r="H18" s="34" t="str">
        <f t="shared" si="4"/>
        <v/>
      </c>
      <c r="I18" s="32" t="str">
        <f t="shared" si="1"/>
        <v/>
      </c>
      <c r="J18" s="32" t="str">
        <f t="shared" ref="J18:J29" si="5">IF(I18&lt;&gt;"",IF(MOD(I18,1)&lt;&gt;0,I18-0.2,I18),"")</f>
        <v/>
      </c>
      <c r="K18" s="32"/>
      <c r="L18" s="26"/>
      <c r="M18" s="8">
        <f>SUM('Oct.25 '!H17:H32)+SUM(H2:H16)</f>
        <v>29.500000000000007</v>
      </c>
      <c r="N18" s="6">
        <f>SUM('Oct.25 '!J17:J32)+SUM('DEC.25 '!J2:J16)</f>
        <v>0</v>
      </c>
      <c r="O18" s="6"/>
      <c r="Q18" s="9"/>
    </row>
    <row r="19" spans="1:17" ht="30" customHeight="1" x14ac:dyDescent="0.2">
      <c r="A19" s="29">
        <v>45979</v>
      </c>
      <c r="B19" s="30">
        <v>8</v>
      </c>
      <c r="C19" s="30">
        <v>17</v>
      </c>
      <c r="D19" s="31" t="str">
        <f t="shared" si="3"/>
        <v/>
      </c>
      <c r="E19" s="30"/>
      <c r="F19" s="30"/>
      <c r="G19" s="33" t="e">
        <f t="shared" si="0"/>
        <v>#VALUE!</v>
      </c>
      <c r="H19" s="34" t="str">
        <f t="shared" si="4"/>
        <v/>
      </c>
      <c r="I19" s="32" t="str">
        <f t="shared" si="1"/>
        <v/>
      </c>
      <c r="J19" s="32" t="str">
        <f t="shared" si="5"/>
        <v/>
      </c>
      <c r="K19" s="32"/>
      <c r="M19" s="14"/>
      <c r="N19" s="14"/>
      <c r="O19" s="14"/>
    </row>
    <row r="20" spans="1:17" ht="30" customHeight="1" x14ac:dyDescent="0.2">
      <c r="A20" s="29">
        <v>45980</v>
      </c>
      <c r="B20" s="30">
        <v>8</v>
      </c>
      <c r="C20" s="30">
        <v>17</v>
      </c>
      <c r="D20" s="31" t="str">
        <f t="shared" si="3"/>
        <v/>
      </c>
      <c r="E20" s="30"/>
      <c r="F20" s="30"/>
      <c r="G20" s="33" t="e">
        <f t="shared" si="0"/>
        <v>#VALUE!</v>
      </c>
      <c r="H20" s="34" t="str">
        <f t="shared" si="4"/>
        <v/>
      </c>
      <c r="I20" s="32" t="str">
        <f t="shared" si="1"/>
        <v/>
      </c>
      <c r="J20" s="32" t="str">
        <f t="shared" si="5"/>
        <v/>
      </c>
      <c r="K20" s="32"/>
    </row>
    <row r="21" spans="1:17" ht="30" customHeight="1" x14ac:dyDescent="0.2">
      <c r="A21" s="36">
        <v>45981</v>
      </c>
      <c r="B21" s="30"/>
      <c r="C21" s="30"/>
      <c r="D21" s="31" t="str">
        <f t="shared" si="3"/>
        <v/>
      </c>
      <c r="E21" s="30"/>
      <c r="F21" s="30"/>
      <c r="G21" s="33" t="e">
        <f t="shared" si="0"/>
        <v>#VALUE!</v>
      </c>
      <c r="H21" s="34" t="str">
        <f t="shared" si="4"/>
        <v/>
      </c>
      <c r="I21" s="32" t="str">
        <f t="shared" si="1"/>
        <v/>
      </c>
      <c r="J21" s="32" t="str">
        <f t="shared" si="5"/>
        <v/>
      </c>
      <c r="K21" s="32"/>
    </row>
    <row r="22" spans="1:17" ht="30" customHeight="1" x14ac:dyDescent="0.2">
      <c r="A22" s="36">
        <v>45982</v>
      </c>
      <c r="B22" s="30"/>
      <c r="C22" s="30"/>
      <c r="D22" s="31" t="str">
        <f t="shared" si="3"/>
        <v/>
      </c>
      <c r="E22" s="30"/>
      <c r="F22" s="30"/>
      <c r="G22" s="33" t="e">
        <f t="shared" si="0"/>
        <v>#VALUE!</v>
      </c>
      <c r="H22" s="34" t="str">
        <f t="shared" si="4"/>
        <v/>
      </c>
      <c r="I22" s="32" t="str">
        <f t="shared" si="1"/>
        <v/>
      </c>
      <c r="J22" s="32" t="str">
        <f t="shared" si="5"/>
        <v/>
      </c>
      <c r="K22" s="32"/>
    </row>
    <row r="23" spans="1:17" ht="30" customHeight="1" x14ac:dyDescent="0.2">
      <c r="A23" s="29">
        <v>45983</v>
      </c>
      <c r="B23" s="30"/>
      <c r="C23" s="30"/>
      <c r="D23" s="31" t="str">
        <f t="shared" si="3"/>
        <v/>
      </c>
      <c r="E23" s="30"/>
      <c r="F23" s="30"/>
      <c r="G23" s="33" t="e">
        <f t="shared" si="0"/>
        <v>#VALUE!</v>
      </c>
      <c r="H23" s="34" t="str">
        <f t="shared" si="4"/>
        <v/>
      </c>
      <c r="I23" s="32" t="str">
        <f t="shared" si="1"/>
        <v/>
      </c>
      <c r="J23" s="32" t="str">
        <f t="shared" si="5"/>
        <v/>
      </c>
      <c r="K23" s="32"/>
    </row>
    <row r="24" spans="1:17" ht="30" customHeight="1" x14ac:dyDescent="0.2">
      <c r="A24" s="29">
        <v>45984</v>
      </c>
      <c r="B24" s="30"/>
      <c r="C24" s="30"/>
      <c r="D24" s="31" t="str">
        <f t="shared" si="3"/>
        <v/>
      </c>
      <c r="E24" s="30"/>
      <c r="F24" s="30"/>
      <c r="G24" s="33" t="e">
        <f t="shared" si="0"/>
        <v>#VALUE!</v>
      </c>
      <c r="H24" s="34" t="str">
        <f t="shared" si="4"/>
        <v/>
      </c>
      <c r="I24" s="32" t="str">
        <f t="shared" si="1"/>
        <v/>
      </c>
      <c r="J24" s="32" t="str">
        <f t="shared" si="5"/>
        <v/>
      </c>
      <c r="K24" s="32"/>
    </row>
    <row r="25" spans="1:17" ht="30" customHeight="1" x14ac:dyDescent="0.2">
      <c r="A25" s="29">
        <v>45985</v>
      </c>
      <c r="B25" s="30"/>
      <c r="C25" s="30"/>
      <c r="D25" s="31" t="str">
        <f t="shared" si="3"/>
        <v/>
      </c>
      <c r="E25" s="30"/>
      <c r="F25" s="30"/>
      <c r="G25" s="33" t="e">
        <f t="shared" si="0"/>
        <v>#VALUE!</v>
      </c>
      <c r="H25" s="34" t="str">
        <f t="shared" si="4"/>
        <v/>
      </c>
      <c r="I25" s="32" t="str">
        <f t="shared" si="1"/>
        <v/>
      </c>
      <c r="J25" s="32" t="str">
        <f t="shared" si="5"/>
        <v/>
      </c>
      <c r="K25" s="32"/>
    </row>
    <row r="26" spans="1:17" ht="30" customHeight="1" x14ac:dyDescent="0.2">
      <c r="A26" s="29">
        <v>45986</v>
      </c>
      <c r="B26" s="30"/>
      <c r="C26" s="30"/>
      <c r="D26" s="31" t="str">
        <f t="shared" si="3"/>
        <v/>
      </c>
      <c r="E26" s="30"/>
      <c r="F26" s="30"/>
      <c r="G26" s="33" t="e">
        <f t="shared" si="0"/>
        <v>#VALUE!</v>
      </c>
      <c r="H26" s="34" t="str">
        <f t="shared" si="4"/>
        <v/>
      </c>
      <c r="I26" s="32" t="str">
        <f t="shared" si="1"/>
        <v/>
      </c>
      <c r="J26" s="32" t="str">
        <f t="shared" si="5"/>
        <v/>
      </c>
      <c r="K26" s="32"/>
    </row>
    <row r="27" spans="1:17" ht="30" customHeight="1" x14ac:dyDescent="0.2">
      <c r="A27" s="29">
        <v>45987</v>
      </c>
      <c r="B27" s="30"/>
      <c r="C27" s="30"/>
      <c r="D27" s="31" t="str">
        <f t="shared" si="3"/>
        <v/>
      </c>
      <c r="E27" s="30"/>
      <c r="F27" s="30"/>
      <c r="G27" s="33" t="e">
        <f t="shared" si="0"/>
        <v>#VALUE!</v>
      </c>
      <c r="H27" s="34" t="str">
        <f t="shared" si="4"/>
        <v/>
      </c>
      <c r="I27" s="32" t="str">
        <f t="shared" si="1"/>
        <v/>
      </c>
      <c r="J27" s="32" t="str">
        <f t="shared" si="5"/>
        <v/>
      </c>
      <c r="K27" s="32"/>
    </row>
    <row r="28" spans="1:17" ht="30" customHeight="1" x14ac:dyDescent="0.2">
      <c r="A28" s="36">
        <v>45988</v>
      </c>
      <c r="B28" s="30"/>
      <c r="C28" s="30"/>
      <c r="D28" s="31" t="str">
        <f t="shared" si="3"/>
        <v/>
      </c>
      <c r="E28" s="30"/>
      <c r="F28" s="30"/>
      <c r="G28" s="33" t="e">
        <f t="shared" si="0"/>
        <v>#VALUE!</v>
      </c>
      <c r="H28" s="34" t="str">
        <f t="shared" si="4"/>
        <v/>
      </c>
      <c r="I28" s="32" t="str">
        <f t="shared" si="1"/>
        <v/>
      </c>
      <c r="J28" s="32" t="str">
        <f t="shared" si="5"/>
        <v/>
      </c>
      <c r="K28" s="32"/>
    </row>
    <row r="29" spans="1:17" ht="30" customHeight="1" x14ac:dyDescent="0.2">
      <c r="A29" s="36">
        <v>45989</v>
      </c>
      <c r="B29" s="30"/>
      <c r="C29" s="30"/>
      <c r="D29" s="31" t="str">
        <f t="shared" si="3"/>
        <v/>
      </c>
      <c r="E29" s="30"/>
      <c r="F29" s="30"/>
      <c r="G29" s="33" t="e">
        <f t="shared" si="0"/>
        <v>#VALUE!</v>
      </c>
      <c r="H29" s="34" t="str">
        <f t="shared" si="4"/>
        <v/>
      </c>
      <c r="I29" s="32" t="str">
        <f t="shared" si="1"/>
        <v/>
      </c>
      <c r="J29" s="32" t="str">
        <f t="shared" si="5"/>
        <v/>
      </c>
      <c r="K29" s="32"/>
    </row>
    <row r="30" spans="1:17" ht="30" customHeight="1" x14ac:dyDescent="0.2">
      <c r="A30" s="36">
        <v>45990</v>
      </c>
      <c r="B30" s="30"/>
      <c r="C30" s="30"/>
      <c r="D30" s="31" t="str">
        <f t="shared" si="3"/>
        <v/>
      </c>
      <c r="E30" s="30"/>
      <c r="F30" s="30"/>
      <c r="G30" s="33"/>
      <c r="H30" s="34"/>
      <c r="I30" s="32"/>
      <c r="J30" s="32"/>
      <c r="K30" s="32"/>
    </row>
    <row r="31" spans="1:17" ht="30" customHeight="1" x14ac:dyDescent="0.2">
      <c r="A31" s="36">
        <v>45991</v>
      </c>
      <c r="B31" s="30"/>
      <c r="C31" s="30"/>
      <c r="D31" s="31" t="str">
        <f t="shared" si="3"/>
        <v/>
      </c>
      <c r="E31" s="30"/>
      <c r="F31" s="30"/>
      <c r="G31" s="33"/>
      <c r="H31" s="34"/>
      <c r="I31" s="32"/>
      <c r="J31" s="32"/>
      <c r="K31" s="32"/>
    </row>
    <row r="32" spans="1:17" ht="30" hidden="1" customHeight="1" x14ac:dyDescent="0.2">
      <c r="A32" s="17">
        <v>45747</v>
      </c>
      <c r="B32" s="4"/>
      <c r="C32" s="4"/>
      <c r="D32" s="11" t="str">
        <f t="shared" si="3"/>
        <v/>
      </c>
      <c r="E32" s="4"/>
      <c r="F32" s="4"/>
      <c r="G32" s="7"/>
      <c r="H32" s="8"/>
      <c r="I32" s="6"/>
      <c r="J32" s="6"/>
      <c r="K32" s="6"/>
    </row>
    <row r="33" spans="1:3" ht="30" customHeight="1" x14ac:dyDescent="0.2"/>
    <row r="34" spans="1:3" ht="30" customHeight="1" x14ac:dyDescent="0.2">
      <c r="A34" s="14">
        <f>M18*173.07</f>
        <v>5105.5650000000014</v>
      </c>
      <c r="B34" s="14">
        <f>N18*115.38</f>
        <v>0</v>
      </c>
      <c r="C34" s="14">
        <f>A34+B34</f>
        <v>5105.5650000000014</v>
      </c>
    </row>
    <row r="35" spans="1:3" ht="30" customHeight="1" x14ac:dyDescent="0.2"/>
    <row r="36" spans="1:3" ht="30" customHeight="1" x14ac:dyDescent="0.2"/>
    <row r="37" spans="1:3" ht="30" customHeight="1" x14ac:dyDescent="0.2"/>
    <row r="38" spans="1:3" ht="30" customHeight="1" x14ac:dyDescent="0.2"/>
    <row r="39" spans="1:3" ht="30" customHeight="1" x14ac:dyDescent="0.2"/>
    <row r="40" spans="1:3" ht="30" customHeight="1" x14ac:dyDescent="0.2"/>
    <row r="41" spans="1:3" ht="30" customHeight="1" x14ac:dyDescent="0.2"/>
    <row r="42" spans="1:3" ht="30" customHeight="1" x14ac:dyDescent="0.2"/>
    <row r="43" spans="1:3" ht="30" customHeight="1" x14ac:dyDescent="0.2"/>
    <row r="44" spans="1:3" ht="30" customHeight="1" x14ac:dyDescent="0.2"/>
    <row r="45" spans="1:3" ht="30" customHeight="1" x14ac:dyDescent="0.2"/>
    <row r="46" spans="1:3" ht="30" customHeight="1" x14ac:dyDescent="0.2"/>
    <row r="47" spans="1:3" ht="30" customHeight="1" x14ac:dyDescent="0.2"/>
    <row r="48" spans="1:3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</sheetData>
  <mergeCells count="3">
    <mergeCell ref="B1:C1"/>
    <mergeCell ref="L16:O16"/>
    <mergeCell ref="L17:L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A2A74C6EF3E34C9D80F1EF0E7EEC1D" ma:contentTypeVersion="0" ma:contentTypeDescription="Create a new document." ma:contentTypeScope="" ma:versionID="d4b440641d8680f6c9e7d688e9f820e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083301b0dbb2e87802406e7edf66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1758BC-FA01-4ED4-B64E-64B085CEC6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D357F-54F0-43D5-9455-81A1D5B42658}">
  <ds:schemaRefs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31443A-91C8-4D22-9611-7BAB806A9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Nov. 24</vt:lpstr>
      <vt:lpstr>Dec. 24 </vt:lpstr>
      <vt:lpstr>Jan.25</vt:lpstr>
      <vt:lpstr>Feb.25</vt:lpstr>
      <vt:lpstr>Mar.25</vt:lpstr>
      <vt:lpstr>Oct.25 </vt:lpstr>
      <vt:lpstr>Nov.25</vt:lpstr>
      <vt:lpstr>DEC.25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Sirawich An-arsa (สิรวิชญ์ อันอาสา) (Comp_HTC)</dc:creator>
  <cp:lastModifiedBy>Sirawich An-arsa (สิรวิชญ์ อันอาสา) (Comp_HTC)</cp:lastModifiedBy>
  <dcterms:created xsi:type="dcterms:W3CDTF">2024-11-26T03:45:50Z</dcterms:created>
  <dcterms:modified xsi:type="dcterms:W3CDTF">2025-12-19T01:14:28Z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0x010100EEA2A74C6EF3E34C9D80F1EF0E7EEC1D</vt:lpwstr>
  </property>
</Properties>
</file>